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be_\Downloads\"/>
    </mc:Choice>
  </mc:AlternateContent>
  <xr:revisionPtr revIDLastSave="0" documentId="13_ncr:1_{9E95D50E-7B72-42DF-BAAB-3BF69DEAB1CA}" xr6:coauthVersionLast="47" xr6:coauthVersionMax="47" xr10:uidLastSave="{00000000-0000-0000-0000-000000000000}"/>
  <bookViews>
    <workbookView xWindow="-120" yWindow="-120" windowWidth="20730" windowHeight="11160" tabRatio="45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3" l="1"/>
  <c r="C22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<sst xmlns="http://schemas.openxmlformats.org/spreadsheetml/2006/main" count="2023" uniqueCount="325">
  <si>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</si>
  <si>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</si>
  <si>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</si>
  <si>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</si>
  <si>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</si>
  <si>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</si>
  <si>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</si>
  <si>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</si>
  <si>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</si>
  <si>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</si>
  <si>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</si>
  <si>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</si>
  <si>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</si>
  <si>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</si>
  <si>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</si>
  <si>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</si>
  <si>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</si>
  <si>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</si>
  <si>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</si>
  <si>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</si>
  <si>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</si>
  <si>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</si>
  <si>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</si>
  <si>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</si>
  <si>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</si>
  <si>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</si>
  <si>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</si>
  <si>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</si>
  <si>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</si>
  <si>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</si>
  <si>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</si>
  <si>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</si>
  <si>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</si>
  <si>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</si>
  <si>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</si>
  <si>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</si>
  <si>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</si>
  <si>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</si>
  <si>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</si>
  <si>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</si>
  <si>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</si>
  <si>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</si>
  <si>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</si>
  <si>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</si>
  <si>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</si>
  <si>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</si>
  <si>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</si>
  <si>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</si>
  <si>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</si>
  <si>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</si>
  <si>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</si>
  <si>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</si>
  <si>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</si>
  <si>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</si>
  <si>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</si>
  <si>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</si>
  <si>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</si>
  <si>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</si>
  <si>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</si>
  <si>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</si>
  <si>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</si>
  <si>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</si>
  <si>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</si>
  <si>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</si>
  <si>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</si>
  <si>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</si>
  <si>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</si>
  <si>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</si>
  <si>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</si>
  <si>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</si>
  <si>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</si>
  <si>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</si>
  <si>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</si>
  <si>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</si>
  <si>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</si>
  <si>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</si>
  <si>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</si>
  <si>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</si>
  <si>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</si>
  <si>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</si>
  <si>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</si>
  <si>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</si>
  <si>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</si>
  <si>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</si>
  <si>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</si>
  <si>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</si>
  <si>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</si>
  <si>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</si>
  <si>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</si>
  <si>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</si>
  <si>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</si>
  <si>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</si>
  <si>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</si>
  <si>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</si>
  <si>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</si>
  <si>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</si>
  <si>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</si>
  <si>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</si>
  <si>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</si>
  <si>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</si>
  <si>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</si>
  <si>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</si>
  <si>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</si>
  <si>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</si>
  <si>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</si>
  <si>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</si>
  <si>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</si>
  <si>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</si>
  <si>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</si>
  <si>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</si>
  <si>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</si>
  <si>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</si>
  <si>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</si>
  <si>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</si>
  <si>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</si>
  <si>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</si>
  <si>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</si>
  <si>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</si>
  <si>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</si>
  <si>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</si>
  <si>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</si>
  <si>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</si>
  <si>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</si>
  <si>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</si>
  <si>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</si>
  <si>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</si>
  <si>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</si>
  <si>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</si>
  <si>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</si>
  <si>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</si>
  <si>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</si>
  <si>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</si>
  <si>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</si>
  <si>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</si>
  <si>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</si>
  <si>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</si>
  <si>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</si>
  <si>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</si>
  <si>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</si>
  <si>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</si>
  <si>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</si>
  <si>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</si>
  <si>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</si>
  <si>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</si>
  <si>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</si>
  <si>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</si>
  <si>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</si>
  <si>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</si>
  <si>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</si>
  <si>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</si>
  <si>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</si>
  <si>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</si>
  <si>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</si>
  <si>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</si>
  <si>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</si>
  <si>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</si>
  <si>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</si>
  <si>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</si>
  <si>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</si>
  <si>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</si>
  <si>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</si>
  <si>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</si>
  <si>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</si>
  <si>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</si>
  <si>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</si>
  <si>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</si>
  <si>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</si>
  <si>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</si>
  <si>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</si>
  <si>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</si>
  <si>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</si>
  <si>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</si>
  <si>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</si>
  <si>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</si>
  <si>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</si>
  <si>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</si>
  <si>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</si>
  <si>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</si>
  <si>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</si>
  <si>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</si>
  <si>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</si>
  <si>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</si>
  <si>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</si>
  <si>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</si>
  <si>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</si>
  <si>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</si>
  <si>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</si>
  <si>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</si>
  <si>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</si>
  <si>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</si>
  <si>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</si>
  <si>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</si>
  <si>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</si>
  <si>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</si>
  <si>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</si>
  <si>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</si>
  <si>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</si>
  <si>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</si>
  <si>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</si>
  <si>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</si>
  <si>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</si>
  <si>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</si>
  <si>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</si>
  <si>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</si>
  <si>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</si>
  <si>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</si>
  <si>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</si>
  <si>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</si>
  <si>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</si>
  <si>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</si>
  <si>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</si>
  <si>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</si>
  <si>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</si>
  <si>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</si>
  <si>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</si>
  <si>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</si>
  <si>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</si>
  <si>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</si>
  <si>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</si>
  <si>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</si>
  <si>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</si>
  <si>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</si>
  <si>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</si>
  <si>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</si>
  <si>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</si>
  <si>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</si>
  <si>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</si>
  <si>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</si>
  <si>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</si>
  <si>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</si>
  <si>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</si>
  <si>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</si>
  <si>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</si>
  <si>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</si>
  <si>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</si>
  <si>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</si>
  <si>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</si>
  <si>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</si>
  <si>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</si>
  <si>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</si>
  <si>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</si>
  <si>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</si>
  <si>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</si>
  <si>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</si>
  <si>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</si>
  <si>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</si>
  <si>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</si>
  <si>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</si>
  <si>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</si>
  <si>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</si>
  <si>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</si>
  <si>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</si>
  <si>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</si>
  <si>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</si>
  <si>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</si>
  <si>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</si>
  <si>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</si>
  <si>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</si>
  <si>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</si>
  <si>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</si>
  <si>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</si>
  <si>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</si>
  <si>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</si>
  <si>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</si>
  <si>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</si>
  <si>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</si>
  <si>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</si>
  <si>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</si>
  <si>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</si>
  <si>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</si>
  <si>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</si>
  <si>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</si>
  <si>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</si>
  <si>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</si>
  <si>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</si>
  <si>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</si>
  <si>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</si>
  <si>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</si>
  <si>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</si>
  <si>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</si>
  <si>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</si>
  <si>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</si>
  <si>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</si>
  <si>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</si>
  <si>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</si>
  <si>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</si>
  <si>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</si>
  <si>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</si>
  <si>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</si>
  <si>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</si>
  <si>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</si>
  <si>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</si>
  <si>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</si>
  <si>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</si>
  <si>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</si>
  <si>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</si>
  <si>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</si>
  <si>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</si>
  <si>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</si>
  <si>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</si>
  <si>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</si>
  <si>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</si>
  <si>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</si>
  <si>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</si>
  <si>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</si>
  <si>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</si>
  <si>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</si>
  <si>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</si>
  <si>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</si>
  <si>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</si>
  <si>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</si>
  <si>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</si>
  <si>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</si>
  <si>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Geral</t>
  </si>
  <si>
    <t>Rótulos de Linha</t>
  </si>
  <si>
    <t>Soma de Total Value</t>
  </si>
  <si>
    <t>Pergunta de Negócio 1: Qual faturamento total de vendas de planos anuais (considerando as assinaturas agregadas)</t>
  </si>
  <si>
    <t xml:space="preserve">Pergunta de Negócio 2: Qual faturamento total de vendas de planos anuais separado por auto renovação </t>
  </si>
  <si>
    <t>XBOX GAME PASS SUBSCRIPTIONS SALES</t>
  </si>
  <si>
    <t>Soma de EA Play Season Pass</t>
  </si>
  <si>
    <t>Pergunta de Negócio 4: Total de Vendas da Assinatura Minecraft Season Pass</t>
  </si>
  <si>
    <t>Pergunta de Negócio 3: Total de Vendas da Assinatura EA Play Season Pass</t>
  </si>
  <si>
    <t>Soma de Minecraft Season Pass Price</t>
  </si>
  <si>
    <t>&gt; Welcome, Lin</t>
  </si>
  <si>
    <t>Calculation Period : 01/01/2025 - 31/12/2026 | Update Date: 17/10/2026 00:26:00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</si>
</sst>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10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rgb="FF22C55E"/>
      <name val="Aptos Narrow"/>
      <family val="2"/>
      <scheme val="minor"/>
    </font>
    <font>
      <sz val="11"/>
      <color rgb="FF22C55E"/>
      <name val="Aptos Narrow"/>
      <family val="2"/>
      <scheme val="minor"/>
    </font>
    <font>
      <b/>
      <sz val="18"/>
      <color rgb="FF22C55E"/>
      <name val="Segoe UI"/>
      <family val="2"/>
    </font>
    <font>
      <sz val="9"/>
      <color theme="0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Fill="1"/>
    <xf numFmtId="0" fontId="6" fillId="0" borderId="3" xfId="3" applyFont="1" applyBorder="1"/>
    <xf numFmtId="0" fontId="0" fillId="0" borderId="0" xfId="0" applyNumberFormat="1"/>
    <xf numFmtId="165" fontId="0" fillId="0" borderId="0" xfId="0" applyNumberFormat="1"/>
    <xf numFmtId="0" fontId="8" fillId="0" borderId="3" xfId="3" applyFont="1" applyFill="1" applyBorder="1"/>
    <xf numFmtId="0" fontId="6" fillId="0" borderId="3" xfId="3" applyFont="1" applyFill="1" applyBorder="1"/>
    <xf numFmtId="0" fontId="7" fillId="0" borderId="3" xfId="0" applyFont="1" applyBorder="1"/>
    <xf numFmtId="0" fontId="5" fillId="4" borderId="0" xfId="0" applyFont="1" applyFill="1" applyAlignment="1">
      <alignment horizontal="center" vertical="center"/>
    </xf>
    <xf numFmtId="0" fontId="9" fillId="7" borderId="0" xfId="0" applyFont="1" applyFill="1" applyAlignment="1">
      <alignment vertical="top"/>
    </xf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30B5AD7F-B798-454A-99C8-530A7E3C1F91}">
      <tableStyleElement type="wholeTable" dxfId="1"/>
      <tableStyleElement type="headerRow" dxfId="0"/>
    </tableStyle>
  </tableStyles>
  <colors>
    <mruColors>
      <color rgb="FF22C55E"/>
      <color rgb="FF9BC848"/>
      <color rgb="FFE8E6E9"/>
      <color rgb="FF2AE6B1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[DASH_XBOX.xlsx]C̳álculos!Tabela dinâmica1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BC848"/>
          </a:solidFill>
          <a:ln>
            <a:noFill/>
          </a:ln>
          <a:effectLst/>
        </c:spPr>
      </c:pivotFmt>
      <c:pivotFmt>
        <c:idx val="8"/>
        <c:spPr>
          <a:solidFill>
            <a:srgbClr val="9BC84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84-4017-8BA9-65B3BC6EC8DE}"/>
              </c:ext>
            </c:extLst>
          </c:dPt>
          <c:dPt>
            <c:idx val="1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84-4017-8BA9-65B3BC6EC8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C̳álculos!$C$8:$C$10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84-4017-8BA9-65B3BC6EC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1938495"/>
        <c:axId val="802000351"/>
      </c:barChart>
      <c:catAx>
        <c:axId val="811938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2000351"/>
        <c:crosses val="autoZero"/>
        <c:auto val="1"/>
        <c:lblAlgn val="ctr"/>
        <c:lblOffset val="100"/>
        <c:noMultiLvlLbl val="0"/>
      </c:catAx>
      <c:valAx>
        <c:axId val="80200035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1193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409575</xdr:colOff>
      <xdr:row>27</xdr:row>
      <xdr:rowOff>114299</xdr:rowOff>
    </xdr:from>
    <xdr:to>
      <xdr:col>4</xdr:col>
      <xdr:colOff>130251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191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664370</xdr:colOff>
      <xdr:row>0</xdr:row>
      <xdr:rowOff>23812</xdr:rowOff>
    </xdr:from>
    <xdr:to>
      <xdr:col>0</xdr:col>
      <xdr:colOff>1402557</xdr:colOff>
      <xdr:row>3</xdr:row>
      <xdr:rowOff>83344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08D8E3-163E-41A9-A9DA-AFFB6B221C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5" t="18636" r="71948" b="23127"/>
        <a:stretch>
          <a:fillRect/>
        </a:stretch>
      </xdr:blipFill>
      <xdr:spPr>
        <a:xfrm>
          <a:off x="664370" y="23812"/>
          <a:ext cx="738187" cy="736865"/>
        </a:xfrm>
        <a:prstGeom prst="rect">
          <a:avLst/>
        </a:prstGeom>
      </xdr:spPr>
    </xdr:pic>
    <xdr:clientData/>
  </xdr:twoCellAnchor>
  <xdr:twoCellAnchor editAs="absolute">
    <xdr:from>
      <xdr:col>1</xdr:col>
      <xdr:colOff>222249</xdr:colOff>
      <xdr:row>11</xdr:row>
      <xdr:rowOff>189227</xdr:rowOff>
    </xdr:from>
    <xdr:to>
      <xdr:col>13</xdr:col>
      <xdr:colOff>613832</xdr:colOff>
      <xdr:row>28</xdr:row>
      <xdr:rowOff>40188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0DC3BC43-0875-71D6-6119-486FDC01F2D1}"/>
            </a:ext>
          </a:extLst>
        </xdr:cNvPr>
        <xdr:cNvGrpSpPr/>
      </xdr:nvGrpSpPr>
      <xdr:grpSpPr>
        <a:xfrm>
          <a:off x="2488818" y="2426459"/>
          <a:ext cx="7701830" cy="3138229"/>
          <a:chOff x="2381138" y="1055708"/>
          <a:chExt cx="5072062" cy="2928938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EA24CA39-B7CE-5549-D3FE-D7F61FCD90ED}"/>
              </a:ext>
            </a:extLst>
          </xdr:cNvPr>
          <xdr:cNvSpPr/>
        </xdr:nvSpPr>
        <xdr:spPr>
          <a:xfrm>
            <a:off x="2381138" y="1055708"/>
            <a:ext cx="5072062" cy="2928938"/>
          </a:xfrm>
          <a:prstGeom prst="roundRect">
            <a:avLst>
              <a:gd name="adj" fmla="val 358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6FBDAE93-DE85-47A6-A684-74668990219A}"/>
              </a:ext>
            </a:extLst>
          </xdr:cNvPr>
          <xdr:cNvGraphicFramePr>
            <a:graphicFrameLocks/>
          </xdr:cNvGraphicFramePr>
        </xdr:nvGraphicFramePr>
        <xdr:xfrm>
          <a:off x="2396035" y="1349093"/>
          <a:ext cx="5034822" cy="26355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119063</xdr:colOff>
      <xdr:row>4</xdr:row>
      <xdr:rowOff>161926</xdr:rowOff>
    </xdr:from>
    <xdr:to>
      <xdr:col>0</xdr:col>
      <xdr:colOff>1947863</xdr:colOff>
      <xdr:row>11</xdr:row>
      <xdr:rowOff>47626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31046AB5-28E3-4D2D-9E1B-CD99D0F096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3" y="1029759"/>
              <a:ext cx="1828800" cy="121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238124</xdr:colOff>
      <xdr:row>4</xdr:row>
      <xdr:rowOff>11246</xdr:rowOff>
    </xdr:from>
    <xdr:to>
      <xdr:col>7</xdr:col>
      <xdr:colOff>152236</xdr:colOff>
      <xdr:row>10</xdr:row>
      <xdr:rowOff>70778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3EBC4ECA-E93D-FFF9-7D49-167EF1EB89E8}"/>
            </a:ext>
          </a:extLst>
        </xdr:cNvPr>
        <xdr:cNvGrpSpPr/>
      </xdr:nvGrpSpPr>
      <xdr:grpSpPr>
        <a:xfrm>
          <a:off x="2506979" y="890213"/>
          <a:ext cx="3439505" cy="1221582"/>
          <a:chOff x="2481791" y="867832"/>
          <a:chExt cx="3226695" cy="1202532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A41B515D-797D-1E5B-61FE-C667C2803D52}"/>
              </a:ext>
            </a:extLst>
          </xdr:cNvPr>
          <xdr:cNvSpPr/>
        </xdr:nvSpPr>
        <xdr:spPr>
          <a:xfrm>
            <a:off x="2481792" y="879739"/>
            <a:ext cx="3223947" cy="11906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22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8584A80-5F3E-422E-8017-AFC0BDB1F529}"/>
              </a:ext>
            </a:extLst>
          </xdr:cNvPr>
          <xdr:cNvSpPr/>
        </xdr:nvSpPr>
        <xdr:spPr>
          <a:xfrm>
            <a:off x="4030927" y="1284553"/>
            <a:ext cx="1460500" cy="619124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622621C-4D8B-4C1B-9AFA-CF67714ED208}" type="TxLink">
              <a:rPr lang="en-US" sz="1800" b="1" i="0" u="none" strike="noStrike">
                <a:solidFill>
                  <a:srgbClr val="22C55E"/>
                </a:solidFill>
                <a:latin typeface="Aptos Narrow"/>
              </a:rPr>
              <a:t>R$ 600,00</a:t>
            </a:fld>
            <a:endParaRPr lang="pt-BR" sz="7200" b="1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83E6E28C-7BAA-40D3-AE72-12F92EC7958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1" t="27835" r="-6445" b="22681"/>
          <a:stretch>
            <a:fillRect/>
          </a:stretch>
        </xdr:blipFill>
        <xdr:spPr>
          <a:xfrm>
            <a:off x="2588949" y="1308365"/>
            <a:ext cx="1311008" cy="571501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33CE1284-A9BE-64F1-9597-7C369F9E10C7}"/>
              </a:ext>
            </a:extLst>
          </xdr:cNvPr>
          <xdr:cNvSpPr/>
        </xdr:nvSpPr>
        <xdr:spPr>
          <a:xfrm>
            <a:off x="2481791" y="867832"/>
            <a:ext cx="3226695" cy="36634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 EA Play Season Pass</a:t>
            </a:r>
          </a:p>
          <a:p>
            <a:pPr algn="ctr"/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8</xdr:col>
      <xdr:colOff>296332</xdr:colOff>
      <xdr:row>4</xdr:row>
      <xdr:rowOff>17200</xdr:rowOff>
    </xdr:from>
    <xdr:to>
      <xdr:col>14</xdr:col>
      <xdr:colOff>19944</xdr:colOff>
      <xdr:row>10</xdr:row>
      <xdr:rowOff>64825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E61FC26A-D3B6-46A3-2D58-1D3CA7514B56}"/>
            </a:ext>
          </a:extLst>
        </xdr:cNvPr>
        <xdr:cNvGrpSpPr/>
      </xdr:nvGrpSpPr>
      <xdr:grpSpPr>
        <a:xfrm>
          <a:off x="6756949" y="897310"/>
          <a:ext cx="3450173" cy="1208532"/>
          <a:chOff x="6402916" y="884370"/>
          <a:chExt cx="3226695" cy="1190625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E4E9838D-20BB-6DEE-E890-FBFA86414C6E}"/>
              </a:ext>
            </a:extLst>
          </xdr:cNvPr>
          <xdr:cNvSpPr/>
        </xdr:nvSpPr>
        <xdr:spPr>
          <a:xfrm>
            <a:off x="6402917" y="884370"/>
            <a:ext cx="3223947" cy="11906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34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8E118802-175D-DA00-E45A-2238E7AD775C}"/>
              </a:ext>
            </a:extLst>
          </xdr:cNvPr>
          <xdr:cNvSpPr/>
        </xdr:nvSpPr>
        <xdr:spPr>
          <a:xfrm>
            <a:off x="7952052" y="1343423"/>
            <a:ext cx="1460500" cy="619124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595749D-CEF2-417C-999B-6A557AB7FA91}" type="TxLink">
              <a:rPr lang="en-US" sz="1800" b="1" i="0" u="none" strike="noStrike">
                <a:solidFill>
                  <a:srgbClr val="22C55E"/>
                </a:solidFill>
                <a:latin typeface="Aptos Narrow"/>
              </a:rPr>
              <a:t>R$ 940,00</a:t>
            </a:fld>
            <a:endParaRPr lang="pt-BR" sz="7200" b="1">
              <a:solidFill>
                <a:srgbClr val="22C55E"/>
              </a:solidFill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230898FA-9D50-5DC3-38E7-0812552BCC29}"/>
              </a:ext>
            </a:extLst>
          </xdr:cNvPr>
          <xdr:cNvSpPr/>
        </xdr:nvSpPr>
        <xdr:spPr>
          <a:xfrm>
            <a:off x="6402916" y="889000"/>
            <a:ext cx="3226695" cy="36634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 Minecraft Season Pass</a:t>
            </a:r>
          </a:p>
          <a:p>
            <a:pPr algn="ctr"/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D1EB496F-57EC-4E72-8B06-99895A74046A}"/>
              </a:ext>
            </a:extLst>
          </xdr:cNvPr>
          <xdr:cNvGrpSpPr/>
        </xdr:nvGrpSpPr>
        <xdr:grpSpPr>
          <a:xfrm>
            <a:off x="6678082" y="1324902"/>
            <a:ext cx="920752" cy="656166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51C20E49-8CDA-6442-7A93-FA6E99A15B2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EBD3E986-13AC-ACFC-A4D0-EDFCA43B52E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222249</xdr:colOff>
      <xdr:row>11</xdr:row>
      <xdr:rowOff>84667</xdr:rowOff>
    </xdr:from>
    <xdr:to>
      <xdr:col>14</xdr:col>
      <xdr:colOff>0</xdr:colOff>
      <xdr:row>13</xdr:row>
      <xdr:rowOff>95250</xdr:rowOff>
    </xdr:to>
    <xdr:sp macro="" textlink="">
      <xdr:nvSpPr>
        <xdr:cNvPr id="24" name="Retângulo: Cantos Superiores Arredondados 23">
          <a:extLst>
            <a:ext uri="{FF2B5EF4-FFF2-40B4-BE49-F238E27FC236}">
              <a16:creationId xmlns:a16="http://schemas.microsoft.com/office/drawing/2014/main" id="{3BAB072E-6591-456B-86D1-DC634AF129AF}"/>
            </a:ext>
          </a:extLst>
        </xdr:cNvPr>
        <xdr:cNvSpPr/>
      </xdr:nvSpPr>
      <xdr:spPr>
        <a:xfrm>
          <a:off x="2317749" y="2286000"/>
          <a:ext cx="7207251" cy="391583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Segoe UI" panose="020B0502040204020203" pitchFamily="34" charset="0"/>
              <a:cs typeface="Segoe UI" panose="020B0502040204020203" pitchFamily="34" charset="0"/>
            </a:rPr>
            <a:t>Total Subscription XBOX Game Pass</a:t>
          </a:r>
        </a:p>
        <a:p>
          <a:pPr algn="ctr"/>
          <a:endParaRPr lang="pt-BR" sz="12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685801</xdr:colOff>
      <xdr:row>16</xdr:row>
      <xdr:rowOff>74084</xdr:rowOff>
    </xdr:from>
    <xdr:to>
      <xdr:col>0</xdr:col>
      <xdr:colOff>1381126</xdr:colOff>
      <xdr:row>20</xdr:row>
      <xdr:rowOff>7409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9609B983-266B-4C5F-BA38-E9E987416B6C}"/>
            </a:ext>
          </a:extLst>
        </xdr:cNvPr>
        <xdr:cNvSpPr/>
      </xdr:nvSpPr>
      <xdr:spPr>
        <a:xfrm>
          <a:off x="685801" y="3227917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ia Luísa" refreshedDate="46310.898713078706" createdVersion="8" refreshedVersion="8" minRefreshableVersion="3" recordCount="295" xr:uid="{083CAB80-AA71-4F23-93BD-5504F1D85BF7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1084579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n v="30"/>
    <s v="Yes"/>
    <n v="20"/>
    <n v="5"/>
    <n v="60"/>
  </r>
  <r>
    <n v="3232"/>
    <x v="1"/>
    <x v="1"/>
    <d v="2024-01-15T00:00:00"/>
    <x v="1"/>
    <n v="5"/>
    <x v="1"/>
    <s v="No"/>
    <s v="-"/>
    <s v="No"/>
    <n v="0"/>
    <n v="0"/>
    <n v="5"/>
  </r>
  <r>
    <n v="3233"/>
    <x v="2"/>
    <x v="2"/>
    <d v="2024-02-10T00:00:00"/>
    <x v="0"/>
    <n v="10"/>
    <x v="2"/>
    <s v="No"/>
    <s v="-"/>
    <s v="Yes"/>
    <n v="20"/>
    <n v="10"/>
    <n v="20"/>
  </r>
  <r>
    <n v="3234"/>
    <x v="3"/>
    <x v="0"/>
    <d v="2024-02-20T00:00:00"/>
    <x v="1"/>
    <n v="15"/>
    <x v="0"/>
    <s v="Yes"/>
    <n v="30"/>
    <s v="Yes"/>
    <n v="20"/>
    <n v="3"/>
    <n v="62"/>
  </r>
  <r>
    <n v="3235"/>
    <x v="4"/>
    <x v="1"/>
    <d v="2024-03-05T00:00:00"/>
    <x v="0"/>
    <n v="5"/>
    <x v="0"/>
    <s v="No"/>
    <s v="-"/>
    <s v="No"/>
    <n v="0"/>
    <n v="1"/>
    <n v="4"/>
  </r>
  <r>
    <n v="3236"/>
    <x v="5"/>
    <x v="2"/>
    <d v="2024-03-02T00:00:00"/>
    <x v="1"/>
    <n v="10"/>
    <x v="0"/>
    <s v="No"/>
    <s v="-"/>
    <s v="Yes"/>
    <n v="20"/>
    <n v="2"/>
    <n v="28"/>
  </r>
  <r>
    <n v="3237"/>
    <x v="6"/>
    <x v="0"/>
    <d v="2024-03-03T00:00:00"/>
    <x v="0"/>
    <n v="15"/>
    <x v="2"/>
    <s v="Yes"/>
    <n v="30"/>
    <s v="Yes"/>
    <n v="20"/>
    <n v="10"/>
    <n v="55"/>
  </r>
  <r>
    <n v="3238"/>
    <x v="7"/>
    <x v="1"/>
    <d v="2024-03-04T00:00:00"/>
    <x v="0"/>
    <n v="5"/>
    <x v="1"/>
    <s v="No"/>
    <s v="-"/>
    <s v="No"/>
    <n v="0"/>
    <n v="0"/>
    <n v="5"/>
  </r>
  <r>
    <n v="3239"/>
    <x v="8"/>
    <x v="0"/>
    <d v="2024-03-05T00:00:00"/>
    <x v="1"/>
    <n v="15"/>
    <x v="0"/>
    <s v="Yes"/>
    <n v="30"/>
    <s v="Yes"/>
    <n v="20"/>
    <n v="5"/>
    <n v="60"/>
  </r>
  <r>
    <n v="3240"/>
    <x v="9"/>
    <x v="2"/>
    <d v="2024-03-06T00:00:00"/>
    <x v="0"/>
    <n v="10"/>
    <x v="2"/>
    <s v="No"/>
    <s v="-"/>
    <s v="Yes"/>
    <n v="20"/>
    <n v="15"/>
    <n v="15"/>
  </r>
  <r>
    <n v="3241"/>
    <x v="10"/>
    <x v="1"/>
    <d v="2024-03-07T00:00:00"/>
    <x v="1"/>
    <n v="5"/>
    <x v="0"/>
    <s v="No"/>
    <s v="-"/>
    <s v="No"/>
    <n v="0"/>
    <n v="1"/>
    <n v="4"/>
  </r>
  <r>
    <n v="3242"/>
    <x v="11"/>
    <x v="0"/>
    <d v="2024-03-08T00:00:00"/>
    <x v="0"/>
    <n v="15"/>
    <x v="1"/>
    <s v="Yes"/>
    <n v="30"/>
    <s v="Yes"/>
    <n v="20"/>
    <n v="20"/>
    <n v="45"/>
  </r>
  <r>
    <n v="3243"/>
    <x v="12"/>
    <x v="2"/>
    <d v="2024-03-09T00:00:00"/>
    <x v="1"/>
    <n v="10"/>
    <x v="0"/>
    <s v="No"/>
    <s v="-"/>
    <s v="Yes"/>
    <n v="20"/>
    <n v="10"/>
    <n v="20"/>
  </r>
  <r>
    <n v="3244"/>
    <x v="13"/>
    <x v="1"/>
    <d v="2024-03-10T00:00:00"/>
    <x v="0"/>
    <n v="5"/>
    <x v="2"/>
    <s v="No"/>
    <s v="-"/>
    <s v="No"/>
    <n v="0"/>
    <n v="0"/>
    <n v="5"/>
  </r>
  <r>
    <n v="3245"/>
    <x v="14"/>
    <x v="0"/>
    <d v="2024-03-11T00:00:00"/>
    <x v="1"/>
    <n v="15"/>
    <x v="0"/>
    <s v="Yes"/>
    <n v="30"/>
    <s v="Yes"/>
    <n v="20"/>
    <n v="8"/>
    <n v="57"/>
  </r>
  <r>
    <n v="3246"/>
    <x v="15"/>
    <x v="2"/>
    <d v="2024-03-12T00:00:00"/>
    <x v="0"/>
    <n v="10"/>
    <x v="1"/>
    <s v="No"/>
    <s v="-"/>
    <s v="Yes"/>
    <n v="20"/>
    <n v="12"/>
    <n v="18"/>
  </r>
  <r>
    <n v="3247"/>
    <x v="16"/>
    <x v="1"/>
    <d v="2024-03-13T00:00:00"/>
    <x v="1"/>
    <n v="5"/>
    <x v="0"/>
    <s v="No"/>
    <s v="-"/>
    <s v="No"/>
    <n v="0"/>
    <n v="2"/>
    <n v="3"/>
  </r>
  <r>
    <n v="3248"/>
    <x v="17"/>
    <x v="0"/>
    <d v="2024-03-14T00:00:00"/>
    <x v="0"/>
    <n v="15"/>
    <x v="2"/>
    <s v="Yes"/>
    <n v="30"/>
    <s v="Yes"/>
    <n v="20"/>
    <n v="7"/>
    <n v="58"/>
  </r>
  <r>
    <n v="3249"/>
    <x v="18"/>
    <x v="2"/>
    <d v="2024-03-15T00:00:00"/>
    <x v="1"/>
    <n v="10"/>
    <x v="0"/>
    <s v="No"/>
    <s v="-"/>
    <s v="Yes"/>
    <n v="20"/>
    <n v="5"/>
    <n v="25"/>
  </r>
  <r>
    <n v="3250"/>
    <x v="19"/>
    <x v="1"/>
    <d v="2024-03-16T00:00:00"/>
    <x v="0"/>
    <n v="5"/>
    <x v="1"/>
    <s v="No"/>
    <s v="-"/>
    <s v="No"/>
    <n v="0"/>
    <n v="0"/>
    <n v="5"/>
  </r>
  <r>
    <n v="3251"/>
    <x v="20"/>
    <x v="0"/>
    <d v="2024-03-17T00:00:00"/>
    <x v="1"/>
    <n v="15"/>
    <x v="0"/>
    <s v="Yes"/>
    <n v="30"/>
    <s v="Yes"/>
    <n v="20"/>
    <n v="3"/>
    <n v="62"/>
  </r>
  <r>
    <n v="3252"/>
    <x v="21"/>
    <x v="2"/>
    <d v="2024-03-18T00:00:00"/>
    <x v="0"/>
    <n v="10"/>
    <x v="2"/>
    <s v="No"/>
    <s v="-"/>
    <s v="Yes"/>
    <n v="20"/>
    <n v="15"/>
    <n v="15"/>
  </r>
  <r>
    <n v="3253"/>
    <x v="22"/>
    <x v="1"/>
    <d v="2024-03-19T00:00:00"/>
    <x v="1"/>
    <n v="5"/>
    <x v="0"/>
    <s v="No"/>
    <s v="-"/>
    <s v="No"/>
    <n v="0"/>
    <n v="1"/>
    <n v="4"/>
  </r>
  <r>
    <n v="3254"/>
    <x v="23"/>
    <x v="0"/>
    <d v="2024-03-20T00:00:00"/>
    <x v="0"/>
    <n v="15"/>
    <x v="1"/>
    <s v="Yes"/>
    <n v="30"/>
    <s v="Yes"/>
    <n v="20"/>
    <n v="20"/>
    <n v="45"/>
  </r>
  <r>
    <n v="3255"/>
    <x v="24"/>
    <x v="2"/>
    <d v="2024-03-21T00:00:00"/>
    <x v="1"/>
    <n v="10"/>
    <x v="0"/>
    <s v="No"/>
    <s v="-"/>
    <s v="Yes"/>
    <n v="20"/>
    <n v="10"/>
    <n v="20"/>
  </r>
  <r>
    <n v="3256"/>
    <x v="25"/>
    <x v="1"/>
    <d v="2024-03-22T00:00:00"/>
    <x v="0"/>
    <n v="5"/>
    <x v="2"/>
    <s v="No"/>
    <s v="-"/>
    <s v="No"/>
    <n v="0"/>
    <n v="0"/>
    <n v="5"/>
  </r>
  <r>
    <n v="3257"/>
    <x v="26"/>
    <x v="0"/>
    <d v="2024-03-23T00:00:00"/>
    <x v="1"/>
    <n v="15"/>
    <x v="0"/>
    <s v="Yes"/>
    <n v="30"/>
    <s v="Yes"/>
    <n v="20"/>
    <n v="5"/>
    <n v="60"/>
  </r>
  <r>
    <n v="3258"/>
    <x v="27"/>
    <x v="2"/>
    <d v="2024-03-24T00:00:00"/>
    <x v="0"/>
    <n v="10"/>
    <x v="1"/>
    <s v="No"/>
    <s v="-"/>
    <s v="Yes"/>
    <n v="20"/>
    <n v="15"/>
    <n v="15"/>
  </r>
  <r>
    <n v="3259"/>
    <x v="28"/>
    <x v="1"/>
    <d v="2024-03-25T00:00:00"/>
    <x v="1"/>
    <n v="5"/>
    <x v="0"/>
    <s v="No"/>
    <s v="-"/>
    <s v="No"/>
    <n v="0"/>
    <n v="1"/>
    <n v="4"/>
  </r>
  <r>
    <n v="3260"/>
    <x v="29"/>
    <x v="0"/>
    <d v="2024-03-26T00:00:00"/>
    <x v="0"/>
    <n v="15"/>
    <x v="2"/>
    <s v="Yes"/>
    <n v="30"/>
    <s v="Yes"/>
    <n v="20"/>
    <n v="7"/>
    <n v="58"/>
  </r>
  <r>
    <n v="3261"/>
    <x v="30"/>
    <x v="2"/>
    <d v="2024-03-27T00:00:00"/>
    <x v="1"/>
    <n v="10"/>
    <x v="0"/>
    <s v="No"/>
    <s v="-"/>
    <s v="Yes"/>
    <n v="20"/>
    <n v="10"/>
    <n v="20"/>
  </r>
  <r>
    <n v="3262"/>
    <x v="31"/>
    <x v="1"/>
    <d v="2024-03-28T00:00:00"/>
    <x v="0"/>
    <n v="5"/>
    <x v="1"/>
    <s v="No"/>
    <s v="-"/>
    <s v="No"/>
    <n v="0"/>
    <n v="0"/>
    <n v="5"/>
  </r>
  <r>
    <n v="3263"/>
    <x v="32"/>
    <x v="0"/>
    <d v="2024-03-29T00:00:00"/>
    <x v="1"/>
    <n v="15"/>
    <x v="0"/>
    <s v="Yes"/>
    <n v="30"/>
    <s v="Yes"/>
    <n v="20"/>
    <n v="3"/>
    <n v="62"/>
  </r>
  <r>
    <n v="3264"/>
    <x v="33"/>
    <x v="2"/>
    <d v="2024-03-30T00:00:00"/>
    <x v="0"/>
    <n v="10"/>
    <x v="2"/>
    <s v="No"/>
    <s v="-"/>
    <s v="Yes"/>
    <n v="20"/>
    <n v="15"/>
    <n v="15"/>
  </r>
  <r>
    <n v="3265"/>
    <x v="34"/>
    <x v="1"/>
    <d v="2024-03-31T00:00:00"/>
    <x v="1"/>
    <n v="5"/>
    <x v="0"/>
    <s v="No"/>
    <s v="-"/>
    <s v="No"/>
    <n v="0"/>
    <n v="1"/>
    <n v="4"/>
  </r>
  <r>
    <n v="3266"/>
    <x v="35"/>
    <x v="1"/>
    <d v="2024-04-01T00:00:00"/>
    <x v="0"/>
    <n v="5"/>
    <x v="0"/>
    <s v="No"/>
    <s v="-"/>
    <s v="No"/>
    <n v="0"/>
    <n v="0"/>
    <n v="5"/>
  </r>
  <r>
    <n v="3267"/>
    <x v="36"/>
    <x v="0"/>
    <d v="2024-04-02T00:00:00"/>
    <x v="1"/>
    <n v="15"/>
    <x v="2"/>
    <s v="Yes"/>
    <n v="30"/>
    <s v="Yes"/>
    <n v="20"/>
    <n v="7"/>
    <n v="58"/>
  </r>
  <r>
    <n v="3268"/>
    <x v="37"/>
    <x v="2"/>
    <d v="2024-04-03T00:00:00"/>
    <x v="0"/>
    <n v="10"/>
    <x v="1"/>
    <s v="No"/>
    <s v="-"/>
    <s v="Yes"/>
    <n v="20"/>
    <n v="10"/>
    <n v="20"/>
  </r>
  <r>
    <n v="3269"/>
    <x v="38"/>
    <x v="1"/>
    <d v="2024-04-04T00:00:00"/>
    <x v="1"/>
    <n v="5"/>
    <x v="2"/>
    <s v="No"/>
    <s v="-"/>
    <s v="No"/>
    <n v="0"/>
    <n v="1"/>
    <n v="4"/>
  </r>
  <r>
    <n v="3270"/>
    <x v="39"/>
    <x v="0"/>
    <d v="2024-04-05T00:00:00"/>
    <x v="0"/>
    <n v="15"/>
    <x v="0"/>
    <s v="Yes"/>
    <n v="30"/>
    <s v="Yes"/>
    <n v="20"/>
    <n v="15"/>
    <n v="50"/>
  </r>
  <r>
    <n v="3271"/>
    <x v="40"/>
    <x v="2"/>
    <d v="2024-04-06T00:00:00"/>
    <x v="1"/>
    <n v="10"/>
    <x v="0"/>
    <s v="No"/>
    <s v="-"/>
    <s v="Yes"/>
    <n v="20"/>
    <n v="5"/>
    <n v="25"/>
  </r>
  <r>
    <n v="3272"/>
    <x v="41"/>
    <x v="1"/>
    <d v="2024-04-07T00:00:00"/>
    <x v="0"/>
    <n v="5"/>
    <x v="1"/>
    <s v="No"/>
    <s v="-"/>
    <s v="No"/>
    <n v="0"/>
    <n v="0"/>
    <n v="5"/>
  </r>
  <r>
    <n v="3273"/>
    <x v="42"/>
    <x v="0"/>
    <d v="2024-04-08T00:00:00"/>
    <x v="1"/>
    <n v="15"/>
    <x v="2"/>
    <s v="Yes"/>
    <n v="30"/>
    <s v="Yes"/>
    <n v="20"/>
    <n v="20"/>
    <n v="45"/>
  </r>
  <r>
    <n v="3274"/>
    <x v="43"/>
    <x v="2"/>
    <d v="2024-04-09T00:00:00"/>
    <x v="0"/>
    <n v="10"/>
    <x v="2"/>
    <s v="No"/>
    <s v="-"/>
    <s v="Yes"/>
    <n v="20"/>
    <n v="12"/>
    <n v="18"/>
  </r>
  <r>
    <n v="3275"/>
    <x v="44"/>
    <x v="1"/>
    <d v="2024-04-10T00:00:00"/>
    <x v="1"/>
    <n v="5"/>
    <x v="0"/>
    <s v="No"/>
    <s v="-"/>
    <s v="No"/>
    <n v="0"/>
    <n v="2"/>
    <n v="3"/>
  </r>
  <r>
    <n v="3276"/>
    <x v="45"/>
    <x v="0"/>
    <d v="2024-04-11T00:00:00"/>
    <x v="0"/>
    <n v="15"/>
    <x v="1"/>
    <s v="Yes"/>
    <n v="30"/>
    <s v="Yes"/>
    <n v="20"/>
    <n v="5"/>
    <n v="60"/>
  </r>
  <r>
    <n v="3277"/>
    <x v="46"/>
    <x v="2"/>
    <d v="2024-04-12T00:00:00"/>
    <x v="1"/>
    <n v="10"/>
    <x v="0"/>
    <s v="No"/>
    <s v="-"/>
    <s v="Yes"/>
    <n v="20"/>
    <n v="10"/>
    <n v="20"/>
  </r>
  <r>
    <n v="3278"/>
    <x v="47"/>
    <x v="1"/>
    <d v="2024-04-13T00:00:00"/>
    <x v="0"/>
    <n v="5"/>
    <x v="2"/>
    <s v="No"/>
    <s v="-"/>
    <s v="No"/>
    <n v="0"/>
    <n v="0"/>
    <n v="5"/>
  </r>
  <r>
    <n v="3279"/>
    <x v="48"/>
    <x v="0"/>
    <d v="2024-04-14T00:00:00"/>
    <x v="1"/>
    <n v="15"/>
    <x v="0"/>
    <s v="Yes"/>
    <n v="30"/>
    <s v="Yes"/>
    <n v="20"/>
    <n v="3"/>
    <n v="62"/>
  </r>
  <r>
    <n v="3280"/>
    <x v="49"/>
    <x v="2"/>
    <d v="2024-04-15T00:00:00"/>
    <x v="0"/>
    <n v="10"/>
    <x v="1"/>
    <s v="No"/>
    <s v="-"/>
    <s v="Yes"/>
    <n v="20"/>
    <n v="15"/>
    <n v="15"/>
  </r>
  <r>
    <n v="3281"/>
    <x v="50"/>
    <x v="1"/>
    <d v="2024-04-16T00:00:00"/>
    <x v="1"/>
    <n v="5"/>
    <x v="0"/>
    <s v="No"/>
    <s v="-"/>
    <s v="No"/>
    <n v="0"/>
    <n v="1"/>
    <n v="4"/>
  </r>
  <r>
    <n v="3282"/>
    <x v="51"/>
    <x v="0"/>
    <d v="2024-04-17T00:00:00"/>
    <x v="0"/>
    <n v="15"/>
    <x v="2"/>
    <s v="Yes"/>
    <n v="30"/>
    <s v="Yes"/>
    <n v="20"/>
    <n v="7"/>
    <n v="58"/>
  </r>
  <r>
    <n v="3283"/>
    <x v="52"/>
    <x v="2"/>
    <d v="2024-04-18T00:00:00"/>
    <x v="1"/>
    <n v="10"/>
    <x v="0"/>
    <s v="No"/>
    <s v="-"/>
    <s v="Yes"/>
    <n v="20"/>
    <n v="10"/>
    <n v="20"/>
  </r>
  <r>
    <n v="3284"/>
    <x v="53"/>
    <x v="1"/>
    <d v="2024-04-19T00:00:00"/>
    <x v="0"/>
    <n v="5"/>
    <x v="1"/>
    <s v="No"/>
    <s v="-"/>
    <s v="No"/>
    <n v="0"/>
    <n v="0"/>
    <n v="5"/>
  </r>
  <r>
    <n v="3285"/>
    <x v="54"/>
    <x v="0"/>
    <d v="2024-04-20T00:00:00"/>
    <x v="1"/>
    <n v="15"/>
    <x v="0"/>
    <s v="Yes"/>
    <n v="30"/>
    <s v="Yes"/>
    <n v="20"/>
    <n v="20"/>
    <n v="45"/>
  </r>
  <r>
    <n v="3286"/>
    <x v="55"/>
    <x v="2"/>
    <d v="2024-04-21T00:00:00"/>
    <x v="0"/>
    <n v="10"/>
    <x v="2"/>
    <s v="No"/>
    <s v="-"/>
    <s v="Yes"/>
    <n v="20"/>
    <n v="15"/>
    <n v="15"/>
  </r>
  <r>
    <n v="3287"/>
    <x v="56"/>
    <x v="1"/>
    <d v="2024-04-22T00:00:00"/>
    <x v="1"/>
    <n v="5"/>
    <x v="0"/>
    <s v="No"/>
    <s v="-"/>
    <s v="No"/>
    <n v="0"/>
    <n v="1"/>
    <n v="4"/>
  </r>
  <r>
    <n v="3288"/>
    <x v="57"/>
    <x v="0"/>
    <d v="2024-04-23T00:00:00"/>
    <x v="0"/>
    <n v="15"/>
    <x v="1"/>
    <s v="Yes"/>
    <n v="30"/>
    <s v="Yes"/>
    <n v="20"/>
    <n v="3"/>
    <n v="62"/>
  </r>
  <r>
    <n v="3289"/>
    <x v="58"/>
    <x v="2"/>
    <d v="2024-04-24T00:00:00"/>
    <x v="1"/>
    <n v="10"/>
    <x v="0"/>
    <s v="No"/>
    <s v="-"/>
    <s v="Yes"/>
    <n v="20"/>
    <n v="10"/>
    <n v="20"/>
  </r>
  <r>
    <n v="3290"/>
    <x v="59"/>
    <x v="1"/>
    <d v="2024-04-25T00:00:00"/>
    <x v="0"/>
    <n v="5"/>
    <x v="2"/>
    <s v="No"/>
    <s v="-"/>
    <s v="No"/>
    <n v="0"/>
    <n v="0"/>
    <n v="5"/>
  </r>
  <r>
    <n v="3291"/>
    <x v="60"/>
    <x v="0"/>
    <d v="2024-04-26T00:00:00"/>
    <x v="1"/>
    <n v="15"/>
    <x v="0"/>
    <s v="Yes"/>
    <n v="30"/>
    <s v="Yes"/>
    <n v="20"/>
    <n v="5"/>
    <n v="60"/>
  </r>
  <r>
    <n v="3292"/>
    <x v="61"/>
    <x v="2"/>
    <d v="2024-04-27T00:00:00"/>
    <x v="0"/>
    <n v="10"/>
    <x v="1"/>
    <s v="No"/>
    <s v="-"/>
    <s v="Yes"/>
    <n v="20"/>
    <n v="15"/>
    <n v="15"/>
  </r>
  <r>
    <n v="3293"/>
    <x v="62"/>
    <x v="1"/>
    <d v="2024-04-28T00:00:00"/>
    <x v="1"/>
    <n v="5"/>
    <x v="0"/>
    <s v="No"/>
    <s v="-"/>
    <s v="No"/>
    <n v="0"/>
    <n v="1"/>
    <n v="4"/>
  </r>
  <r>
    <n v="3294"/>
    <x v="63"/>
    <x v="0"/>
    <d v="2024-04-29T00:00:00"/>
    <x v="0"/>
    <n v="15"/>
    <x v="2"/>
    <s v="Yes"/>
    <n v="30"/>
    <s v="Yes"/>
    <n v="20"/>
    <n v="20"/>
    <n v="45"/>
  </r>
  <r>
    <n v="3295"/>
    <x v="64"/>
    <x v="2"/>
    <d v="2024-04-30T00:00:00"/>
    <x v="1"/>
    <n v="10"/>
    <x v="0"/>
    <s v="No"/>
    <s v="-"/>
    <s v="Yes"/>
    <n v="20"/>
    <n v="5"/>
    <n v="25"/>
  </r>
  <r>
    <n v="3296"/>
    <x v="65"/>
    <x v="1"/>
    <d v="2024-05-01T00:00:00"/>
    <x v="1"/>
    <n v="5"/>
    <x v="0"/>
    <s v="No"/>
    <s v="-"/>
    <s v="No"/>
    <n v="0"/>
    <n v="0"/>
    <n v="5"/>
  </r>
  <r>
    <n v="3297"/>
    <x v="66"/>
    <x v="0"/>
    <d v="2024-05-02T00:00:00"/>
    <x v="0"/>
    <n v="15"/>
    <x v="2"/>
    <s v="Yes"/>
    <n v="30"/>
    <s v="Yes"/>
    <n v="20"/>
    <n v="7"/>
    <n v="58"/>
  </r>
  <r>
    <n v="3298"/>
    <x v="67"/>
    <x v="2"/>
    <d v="2024-05-03T00:00:00"/>
    <x v="1"/>
    <n v="10"/>
    <x v="1"/>
    <s v="No"/>
    <s v="-"/>
    <s v="Yes"/>
    <n v="20"/>
    <n v="10"/>
    <n v="20"/>
  </r>
  <r>
    <n v="3299"/>
    <x v="68"/>
    <x v="1"/>
    <d v="2024-05-04T00:00:00"/>
    <x v="0"/>
    <n v="5"/>
    <x v="2"/>
    <s v="No"/>
    <s v="-"/>
    <s v="No"/>
    <n v="0"/>
    <n v="1"/>
    <n v="4"/>
  </r>
  <r>
    <n v="3300"/>
    <x v="69"/>
    <x v="0"/>
    <d v="2024-05-05T00:00:00"/>
    <x v="1"/>
    <n v="15"/>
    <x v="0"/>
    <s v="Yes"/>
    <n v="30"/>
    <s v="Yes"/>
    <n v="20"/>
    <n v="15"/>
    <n v="50"/>
  </r>
  <r>
    <n v="3301"/>
    <x v="70"/>
    <x v="2"/>
    <d v="2024-05-06T00:00:00"/>
    <x v="0"/>
    <n v="10"/>
    <x v="0"/>
    <s v="No"/>
    <s v="-"/>
    <s v="Yes"/>
    <n v="20"/>
    <n v="5"/>
    <n v="25"/>
  </r>
  <r>
    <n v="3302"/>
    <x v="71"/>
    <x v="1"/>
    <d v="2024-05-07T00:00:00"/>
    <x v="1"/>
    <n v="5"/>
    <x v="1"/>
    <s v="No"/>
    <s v="-"/>
    <s v="No"/>
    <n v="0"/>
    <n v="0"/>
    <n v="5"/>
  </r>
  <r>
    <n v="3303"/>
    <x v="72"/>
    <x v="0"/>
    <d v="2024-05-08T00:00:00"/>
    <x v="0"/>
    <n v="15"/>
    <x v="2"/>
    <s v="Yes"/>
    <n v="30"/>
    <s v="Yes"/>
    <n v="20"/>
    <n v="20"/>
    <n v="45"/>
  </r>
  <r>
    <n v="3304"/>
    <x v="73"/>
    <x v="2"/>
    <d v="2024-05-09T00:00:00"/>
    <x v="1"/>
    <n v="10"/>
    <x v="2"/>
    <s v="No"/>
    <s v="-"/>
    <s v="Yes"/>
    <n v="20"/>
    <n v="12"/>
    <n v="18"/>
  </r>
  <r>
    <n v="3305"/>
    <x v="74"/>
    <x v="1"/>
    <d v="2024-05-10T00:00:00"/>
    <x v="0"/>
    <n v="5"/>
    <x v="0"/>
    <s v="No"/>
    <s v="-"/>
    <s v="No"/>
    <n v="0"/>
    <n v="2"/>
    <n v="3"/>
  </r>
  <r>
    <n v="3306"/>
    <x v="75"/>
    <x v="0"/>
    <d v="2024-05-11T00:00:00"/>
    <x v="1"/>
    <n v="15"/>
    <x v="1"/>
    <s v="Yes"/>
    <n v="30"/>
    <s v="Yes"/>
    <n v="20"/>
    <n v="5"/>
    <n v="60"/>
  </r>
  <r>
    <n v="3307"/>
    <x v="76"/>
    <x v="2"/>
    <d v="2024-05-12T00:00:00"/>
    <x v="0"/>
    <n v="10"/>
    <x v="0"/>
    <s v="No"/>
    <s v="-"/>
    <s v="Yes"/>
    <n v="20"/>
    <n v="10"/>
    <n v="20"/>
  </r>
  <r>
    <n v="3308"/>
    <x v="77"/>
    <x v="1"/>
    <d v="2024-05-13T00:00:00"/>
    <x v="1"/>
    <n v="5"/>
    <x v="2"/>
    <s v="No"/>
    <s v="-"/>
    <s v="No"/>
    <n v="0"/>
    <n v="0"/>
    <n v="5"/>
  </r>
  <r>
    <n v="3309"/>
    <x v="78"/>
    <x v="0"/>
    <d v="2024-05-14T00:00:00"/>
    <x v="0"/>
    <n v="15"/>
    <x v="0"/>
    <s v="Yes"/>
    <n v="30"/>
    <s v="Yes"/>
    <n v="20"/>
    <n v="3"/>
    <n v="62"/>
  </r>
  <r>
    <n v="3310"/>
    <x v="79"/>
    <x v="2"/>
    <d v="2024-05-15T00:00:00"/>
    <x v="1"/>
    <n v="10"/>
    <x v="1"/>
    <s v="No"/>
    <s v="-"/>
    <s v="Yes"/>
    <n v="20"/>
    <n v="15"/>
    <n v="15"/>
  </r>
  <r>
    <n v="3311"/>
    <x v="80"/>
    <x v="1"/>
    <d v="2024-05-16T00:00:00"/>
    <x v="0"/>
    <n v="5"/>
    <x v="0"/>
    <s v="No"/>
    <s v="-"/>
    <s v="No"/>
    <n v="0"/>
    <n v="1"/>
    <n v="4"/>
  </r>
  <r>
    <n v="3312"/>
    <x v="81"/>
    <x v="0"/>
    <d v="2024-05-17T00:00:00"/>
    <x v="1"/>
    <n v="15"/>
    <x v="2"/>
    <s v="Yes"/>
    <n v="30"/>
    <s v="Yes"/>
    <n v="20"/>
    <n v="7"/>
    <n v="58"/>
  </r>
  <r>
    <n v="3313"/>
    <x v="82"/>
    <x v="2"/>
    <d v="2024-05-18T00:00:00"/>
    <x v="0"/>
    <n v="10"/>
    <x v="0"/>
    <s v="No"/>
    <s v="-"/>
    <s v="Yes"/>
    <n v="20"/>
    <n v="10"/>
    <n v="20"/>
  </r>
  <r>
    <n v="3314"/>
    <x v="83"/>
    <x v="1"/>
    <d v="2024-05-19T00:00:00"/>
    <x v="1"/>
    <n v="5"/>
    <x v="1"/>
    <s v="No"/>
    <s v="-"/>
    <s v="No"/>
    <n v="0"/>
    <n v="0"/>
    <n v="5"/>
  </r>
  <r>
    <n v="3315"/>
    <x v="84"/>
    <x v="0"/>
    <d v="2024-05-20T00:00:00"/>
    <x v="0"/>
    <n v="15"/>
    <x v="0"/>
    <s v="Yes"/>
    <n v="30"/>
    <s v="Yes"/>
    <n v="20"/>
    <n v="20"/>
    <n v="45"/>
  </r>
  <r>
    <n v="3316"/>
    <x v="85"/>
    <x v="2"/>
    <d v="2024-05-21T00:00:00"/>
    <x v="1"/>
    <n v="10"/>
    <x v="2"/>
    <s v="No"/>
    <s v="-"/>
    <s v="Yes"/>
    <n v="20"/>
    <n v="15"/>
    <n v="15"/>
  </r>
  <r>
    <n v="3317"/>
    <x v="86"/>
    <x v="1"/>
    <d v="2024-05-22T00:00:00"/>
    <x v="0"/>
    <n v="5"/>
    <x v="0"/>
    <s v="No"/>
    <s v="-"/>
    <s v="No"/>
    <n v="0"/>
    <n v="1"/>
    <n v="4"/>
  </r>
  <r>
    <n v="3318"/>
    <x v="87"/>
    <x v="0"/>
    <d v="2024-05-23T00:00:00"/>
    <x v="1"/>
    <n v="15"/>
    <x v="1"/>
    <s v="Yes"/>
    <n v="30"/>
    <s v="Yes"/>
    <n v="20"/>
    <n v="3"/>
    <n v="62"/>
  </r>
  <r>
    <n v="3319"/>
    <x v="88"/>
    <x v="2"/>
    <d v="2024-05-24T00:00:00"/>
    <x v="0"/>
    <n v="10"/>
    <x v="0"/>
    <s v="No"/>
    <s v="-"/>
    <s v="Yes"/>
    <n v="20"/>
    <n v="10"/>
    <n v="20"/>
  </r>
  <r>
    <n v="3320"/>
    <x v="89"/>
    <x v="1"/>
    <d v="2024-05-25T00:00:00"/>
    <x v="1"/>
    <n v="5"/>
    <x v="2"/>
    <s v="No"/>
    <s v="-"/>
    <s v="No"/>
    <n v="0"/>
    <n v="0"/>
    <n v="5"/>
  </r>
  <r>
    <n v="3321"/>
    <x v="90"/>
    <x v="0"/>
    <d v="2024-05-26T00:00:00"/>
    <x v="0"/>
    <n v="15"/>
    <x v="0"/>
    <s v="Yes"/>
    <n v="30"/>
    <s v="Yes"/>
    <n v="20"/>
    <n v="5"/>
    <n v="60"/>
  </r>
  <r>
    <n v="3322"/>
    <x v="91"/>
    <x v="2"/>
    <d v="2024-05-27T00:00:00"/>
    <x v="1"/>
    <n v="10"/>
    <x v="1"/>
    <s v="No"/>
    <s v="-"/>
    <s v="Yes"/>
    <n v="20"/>
    <n v="15"/>
    <n v="15"/>
  </r>
  <r>
    <n v="3323"/>
    <x v="92"/>
    <x v="1"/>
    <d v="2024-05-28T00:00:00"/>
    <x v="0"/>
    <n v="5"/>
    <x v="0"/>
    <s v="No"/>
    <s v="-"/>
    <s v="No"/>
    <n v="0"/>
    <n v="1"/>
    <n v="4"/>
  </r>
  <r>
    <n v="3324"/>
    <x v="93"/>
    <x v="0"/>
    <d v="2024-05-29T00:00:00"/>
    <x v="1"/>
    <n v="15"/>
    <x v="2"/>
    <s v="Yes"/>
    <n v="30"/>
    <s v="Yes"/>
    <n v="20"/>
    <n v="20"/>
    <n v="45"/>
  </r>
  <r>
    <n v="3325"/>
    <x v="94"/>
    <x v="2"/>
    <d v="2024-05-30T00:00:00"/>
    <x v="0"/>
    <n v="10"/>
    <x v="2"/>
    <s v="No"/>
    <s v="-"/>
    <s v="Yes"/>
    <n v="20"/>
    <n v="15"/>
    <n v="15"/>
  </r>
  <r>
    <n v="3326"/>
    <x v="95"/>
    <x v="1"/>
    <d v="2024-05-31T00:00:00"/>
    <x v="1"/>
    <n v="5"/>
    <x v="1"/>
    <s v="No"/>
    <s v="-"/>
    <s v="No"/>
    <n v="0"/>
    <n v="0"/>
    <n v="5"/>
  </r>
  <r>
    <n v="3327"/>
    <x v="96"/>
    <x v="0"/>
    <d v="2024-06-01T00:00:00"/>
    <x v="0"/>
    <n v="15"/>
    <x v="0"/>
    <s v="Yes"/>
    <n v="30"/>
    <s v="Yes"/>
    <n v="20"/>
    <n v="7"/>
    <n v="58"/>
  </r>
  <r>
    <n v="3328"/>
    <x v="97"/>
    <x v="2"/>
    <d v="2024-06-02T00:00:00"/>
    <x v="1"/>
    <n v="10"/>
    <x v="1"/>
    <s v="No"/>
    <s v="-"/>
    <s v="Yes"/>
    <n v="20"/>
    <n v="10"/>
    <n v="20"/>
  </r>
  <r>
    <n v="3329"/>
    <x v="98"/>
    <x v="1"/>
    <d v="2024-06-03T00:00:00"/>
    <x v="0"/>
    <n v="5"/>
    <x v="2"/>
    <s v="No"/>
    <s v="-"/>
    <s v="No"/>
    <n v="0"/>
    <n v="1"/>
    <n v="4"/>
  </r>
  <r>
    <n v="3330"/>
    <x v="99"/>
    <x v="0"/>
    <d v="2024-06-04T00:00:00"/>
    <x v="1"/>
    <n v="15"/>
    <x v="0"/>
    <s v="Yes"/>
    <n v="30"/>
    <s v="Yes"/>
    <n v="20"/>
    <n v="15"/>
    <n v="50"/>
  </r>
  <r>
    <n v="3331"/>
    <x v="100"/>
    <x v="2"/>
    <d v="2024-06-05T00:00:00"/>
    <x v="0"/>
    <n v="10"/>
    <x v="0"/>
    <s v="No"/>
    <s v="-"/>
    <s v="Yes"/>
    <n v="20"/>
    <n v="5"/>
    <n v="25"/>
  </r>
  <r>
    <n v="3332"/>
    <x v="101"/>
    <x v="1"/>
    <d v="2024-06-06T00:00:00"/>
    <x v="1"/>
    <n v="5"/>
    <x v="1"/>
    <s v="No"/>
    <s v="-"/>
    <s v="No"/>
    <n v="0"/>
    <n v="0"/>
    <n v="5"/>
  </r>
  <r>
    <n v="3333"/>
    <x v="102"/>
    <x v="0"/>
    <d v="2024-06-07T00:00:00"/>
    <x v="0"/>
    <n v="15"/>
    <x v="2"/>
    <s v="Yes"/>
    <n v="30"/>
    <s v="Yes"/>
    <n v="20"/>
    <n v="20"/>
    <n v="45"/>
  </r>
  <r>
    <n v="3334"/>
    <x v="103"/>
    <x v="2"/>
    <d v="2024-06-08T00:00:00"/>
    <x v="1"/>
    <n v="10"/>
    <x v="2"/>
    <s v="No"/>
    <s v="-"/>
    <s v="Yes"/>
    <n v="20"/>
    <n v="12"/>
    <n v="18"/>
  </r>
  <r>
    <n v="3335"/>
    <x v="104"/>
    <x v="1"/>
    <d v="2024-06-09T00:00:00"/>
    <x v="0"/>
    <n v="5"/>
    <x v="0"/>
    <s v="No"/>
    <s v="-"/>
    <s v="No"/>
    <n v="0"/>
    <n v="2"/>
    <n v="3"/>
  </r>
  <r>
    <n v="3336"/>
    <x v="105"/>
    <x v="1"/>
    <d v="2024-06-10T00:00:00"/>
    <x v="0"/>
    <n v="5"/>
    <x v="0"/>
    <s v="No"/>
    <s v="-"/>
    <s v="No"/>
    <n v="0"/>
    <n v="0"/>
    <n v="5"/>
  </r>
  <r>
    <n v="3337"/>
    <x v="106"/>
    <x v="0"/>
    <d v="2024-06-11T00:00:00"/>
    <x v="1"/>
    <n v="15"/>
    <x v="2"/>
    <s v="Yes"/>
    <n v="30"/>
    <s v="Yes"/>
    <n v="20"/>
    <n v="7"/>
    <n v="58"/>
  </r>
  <r>
    <n v="3338"/>
    <x v="107"/>
    <x v="2"/>
    <d v="2024-06-12T00:00:00"/>
    <x v="0"/>
    <n v="10"/>
    <x v="1"/>
    <s v="No"/>
    <s v="-"/>
    <s v="Yes"/>
    <n v="20"/>
    <n v="10"/>
    <n v="20"/>
  </r>
  <r>
    <n v="3339"/>
    <x v="108"/>
    <x v="1"/>
    <d v="2024-06-13T00:00:00"/>
    <x v="1"/>
    <n v="5"/>
    <x v="2"/>
    <s v="No"/>
    <s v="-"/>
    <s v="No"/>
    <n v="0"/>
    <n v="1"/>
    <n v="4"/>
  </r>
  <r>
    <n v="3340"/>
    <x v="109"/>
    <x v="0"/>
    <d v="2024-06-14T00:00:00"/>
    <x v="0"/>
    <n v="15"/>
    <x v="0"/>
    <s v="Yes"/>
    <n v="30"/>
    <s v="Yes"/>
    <n v="20"/>
    <n v="15"/>
    <n v="50"/>
  </r>
  <r>
    <n v="3341"/>
    <x v="110"/>
    <x v="2"/>
    <d v="2024-06-15T00:00:00"/>
    <x v="1"/>
    <n v="10"/>
    <x v="0"/>
    <s v="No"/>
    <s v="-"/>
    <s v="Yes"/>
    <n v="20"/>
    <n v="5"/>
    <n v="25"/>
  </r>
  <r>
    <n v="3342"/>
    <x v="111"/>
    <x v="1"/>
    <d v="2024-06-16T00:00:00"/>
    <x v="0"/>
    <n v="5"/>
    <x v="1"/>
    <s v="No"/>
    <s v="-"/>
    <s v="No"/>
    <n v="0"/>
    <n v="0"/>
    <n v="5"/>
  </r>
  <r>
    <n v="3343"/>
    <x v="112"/>
    <x v="0"/>
    <d v="2024-06-17T00:00:00"/>
    <x v="1"/>
    <n v="15"/>
    <x v="2"/>
    <s v="Yes"/>
    <n v="30"/>
    <s v="Yes"/>
    <n v="20"/>
    <n v="20"/>
    <n v="45"/>
  </r>
  <r>
    <n v="3344"/>
    <x v="113"/>
    <x v="2"/>
    <d v="2024-06-18T00:00:00"/>
    <x v="0"/>
    <n v="10"/>
    <x v="2"/>
    <s v="No"/>
    <s v="-"/>
    <s v="Yes"/>
    <n v="20"/>
    <n v="12"/>
    <n v="18"/>
  </r>
  <r>
    <n v="3345"/>
    <x v="114"/>
    <x v="1"/>
    <d v="2024-06-19T00:00:00"/>
    <x v="1"/>
    <n v="5"/>
    <x v="0"/>
    <s v="No"/>
    <s v="-"/>
    <s v="No"/>
    <n v="0"/>
    <n v="2"/>
    <n v="3"/>
  </r>
  <r>
    <n v="3346"/>
    <x v="115"/>
    <x v="0"/>
    <d v="2024-06-20T00:00:00"/>
    <x v="0"/>
    <n v="15"/>
    <x v="1"/>
    <s v="Yes"/>
    <n v="30"/>
    <s v="Yes"/>
    <n v="20"/>
    <n v="5"/>
    <n v="60"/>
  </r>
  <r>
    <n v="3347"/>
    <x v="116"/>
    <x v="2"/>
    <d v="2024-06-21T00:00:00"/>
    <x v="1"/>
    <n v="10"/>
    <x v="0"/>
    <s v="No"/>
    <s v="-"/>
    <s v="Yes"/>
    <n v="20"/>
    <n v="10"/>
    <n v="20"/>
  </r>
  <r>
    <n v="3348"/>
    <x v="117"/>
    <x v="1"/>
    <d v="2024-06-22T00:00:00"/>
    <x v="0"/>
    <n v="5"/>
    <x v="2"/>
    <s v="No"/>
    <s v="-"/>
    <s v="No"/>
    <n v="0"/>
    <n v="0"/>
    <n v="5"/>
  </r>
  <r>
    <n v="3349"/>
    <x v="93"/>
    <x v="0"/>
    <d v="2024-06-23T00:00:00"/>
    <x v="1"/>
    <n v="15"/>
    <x v="0"/>
    <s v="Yes"/>
    <n v="30"/>
    <s v="Yes"/>
    <n v="20"/>
    <n v="3"/>
    <n v="62"/>
  </r>
  <r>
    <n v="3350"/>
    <x v="118"/>
    <x v="2"/>
    <d v="2024-06-24T00:00:00"/>
    <x v="0"/>
    <n v="10"/>
    <x v="1"/>
    <s v="No"/>
    <s v="-"/>
    <s v="Yes"/>
    <n v="20"/>
    <n v="15"/>
    <n v="15"/>
  </r>
  <r>
    <n v="3351"/>
    <x v="119"/>
    <x v="1"/>
    <d v="2024-06-25T00:00:00"/>
    <x v="1"/>
    <n v="5"/>
    <x v="0"/>
    <s v="No"/>
    <s v="-"/>
    <s v="No"/>
    <n v="0"/>
    <n v="1"/>
    <n v="4"/>
  </r>
  <r>
    <n v="3352"/>
    <x v="120"/>
    <x v="0"/>
    <d v="2024-06-26T00:00:00"/>
    <x v="0"/>
    <n v="15"/>
    <x v="2"/>
    <s v="Yes"/>
    <n v="30"/>
    <s v="Yes"/>
    <n v="20"/>
    <n v="7"/>
    <n v="58"/>
  </r>
  <r>
    <n v="3353"/>
    <x v="121"/>
    <x v="2"/>
    <d v="2024-06-27T00:00:00"/>
    <x v="1"/>
    <n v="10"/>
    <x v="0"/>
    <s v="No"/>
    <s v="-"/>
    <s v="Yes"/>
    <n v="20"/>
    <n v="10"/>
    <n v="20"/>
  </r>
  <r>
    <n v="3354"/>
    <x v="122"/>
    <x v="1"/>
    <d v="2024-06-28T00:00:00"/>
    <x v="0"/>
    <n v="5"/>
    <x v="1"/>
    <s v="No"/>
    <s v="-"/>
    <s v="No"/>
    <n v="0"/>
    <n v="0"/>
    <n v="5"/>
  </r>
  <r>
    <n v="3355"/>
    <x v="123"/>
    <x v="0"/>
    <d v="2024-06-29T00:00:00"/>
    <x v="1"/>
    <n v="15"/>
    <x v="0"/>
    <s v="Yes"/>
    <n v="30"/>
    <s v="Yes"/>
    <n v="20"/>
    <n v="20"/>
    <n v="45"/>
  </r>
  <r>
    <n v="3356"/>
    <x v="124"/>
    <x v="2"/>
    <d v="2024-06-30T00:00:00"/>
    <x v="0"/>
    <n v="10"/>
    <x v="2"/>
    <s v="No"/>
    <s v="-"/>
    <s v="Yes"/>
    <n v="20"/>
    <n v="15"/>
    <n v="15"/>
  </r>
  <r>
    <n v="3357"/>
    <x v="125"/>
    <x v="1"/>
    <d v="2024-07-01T00:00:00"/>
    <x v="1"/>
    <n v="5"/>
    <x v="0"/>
    <s v="No"/>
    <s v="-"/>
    <s v="No"/>
    <n v="0"/>
    <n v="1"/>
    <n v="4"/>
  </r>
  <r>
    <n v="3358"/>
    <x v="126"/>
    <x v="0"/>
    <d v="2024-07-02T00:00:00"/>
    <x v="0"/>
    <n v="15"/>
    <x v="1"/>
    <s v="Yes"/>
    <n v="30"/>
    <s v="Yes"/>
    <n v="20"/>
    <n v="3"/>
    <n v="62"/>
  </r>
  <r>
    <n v="3359"/>
    <x v="127"/>
    <x v="2"/>
    <d v="2024-07-03T00:00:00"/>
    <x v="1"/>
    <n v="10"/>
    <x v="0"/>
    <s v="No"/>
    <s v="-"/>
    <s v="Yes"/>
    <n v="20"/>
    <n v="10"/>
    <n v="20"/>
  </r>
  <r>
    <n v="3360"/>
    <x v="128"/>
    <x v="1"/>
    <d v="2024-07-04T00:00:00"/>
    <x v="0"/>
    <n v="5"/>
    <x v="2"/>
    <s v="No"/>
    <s v="-"/>
    <s v="No"/>
    <n v="0"/>
    <n v="0"/>
    <n v="5"/>
  </r>
  <r>
    <n v="3361"/>
    <x v="129"/>
    <x v="0"/>
    <d v="2024-07-05T00:00:00"/>
    <x v="1"/>
    <n v="15"/>
    <x v="0"/>
    <s v="Yes"/>
    <n v="30"/>
    <s v="Yes"/>
    <n v="20"/>
    <n v="15"/>
    <n v="50"/>
  </r>
  <r>
    <n v="3362"/>
    <x v="130"/>
    <x v="2"/>
    <d v="2024-07-06T00:00:00"/>
    <x v="0"/>
    <n v="10"/>
    <x v="1"/>
    <s v="No"/>
    <s v="-"/>
    <s v="Yes"/>
    <n v="20"/>
    <n v="15"/>
    <n v="15"/>
  </r>
  <r>
    <n v="3363"/>
    <x v="131"/>
    <x v="1"/>
    <d v="2024-07-07T00:00:00"/>
    <x v="1"/>
    <n v="5"/>
    <x v="0"/>
    <s v="No"/>
    <s v="-"/>
    <s v="No"/>
    <n v="0"/>
    <n v="1"/>
    <n v="4"/>
  </r>
  <r>
    <n v="3364"/>
    <x v="132"/>
    <x v="0"/>
    <d v="2024-07-08T00:00:00"/>
    <x v="0"/>
    <n v="15"/>
    <x v="2"/>
    <s v="Yes"/>
    <n v="30"/>
    <s v="Yes"/>
    <n v="20"/>
    <n v="7"/>
    <n v="58"/>
  </r>
  <r>
    <n v="3365"/>
    <x v="133"/>
    <x v="2"/>
    <d v="2024-07-09T00:00:00"/>
    <x v="1"/>
    <n v="10"/>
    <x v="0"/>
    <s v="No"/>
    <s v="-"/>
    <s v="Yes"/>
    <n v="20"/>
    <n v="10"/>
    <n v="20"/>
  </r>
  <r>
    <n v="3366"/>
    <x v="134"/>
    <x v="1"/>
    <d v="2024-07-10T00:00:00"/>
    <x v="0"/>
    <n v="5"/>
    <x v="0"/>
    <s v="No"/>
    <s v="-"/>
    <s v="No"/>
    <n v="0"/>
    <n v="0"/>
    <n v="5"/>
  </r>
  <r>
    <n v="3367"/>
    <x v="135"/>
    <x v="0"/>
    <d v="2024-07-11T00:00:00"/>
    <x v="1"/>
    <n v="15"/>
    <x v="2"/>
    <s v="Yes"/>
    <n v="30"/>
    <s v="Yes"/>
    <n v="20"/>
    <n v="7"/>
    <n v="58"/>
  </r>
  <r>
    <n v="3368"/>
    <x v="136"/>
    <x v="2"/>
    <d v="2024-07-12T00:00:00"/>
    <x v="0"/>
    <n v="10"/>
    <x v="1"/>
    <s v="No"/>
    <s v="-"/>
    <s v="Yes"/>
    <n v="20"/>
    <n v="10"/>
    <n v="20"/>
  </r>
  <r>
    <n v="3369"/>
    <x v="137"/>
    <x v="1"/>
    <d v="2024-07-13T00:00:00"/>
    <x v="1"/>
    <n v="5"/>
    <x v="2"/>
    <s v="No"/>
    <s v="-"/>
    <s v="No"/>
    <n v="0"/>
    <n v="1"/>
    <n v="4"/>
  </r>
  <r>
    <n v="3370"/>
    <x v="138"/>
    <x v="0"/>
    <d v="2024-07-14T00:00:00"/>
    <x v="0"/>
    <n v="15"/>
    <x v="0"/>
    <s v="Yes"/>
    <n v="30"/>
    <s v="Yes"/>
    <n v="20"/>
    <n v="15"/>
    <n v="50"/>
  </r>
  <r>
    <n v="3371"/>
    <x v="139"/>
    <x v="2"/>
    <d v="2024-07-15T00:00:00"/>
    <x v="1"/>
    <n v="10"/>
    <x v="0"/>
    <s v="No"/>
    <s v="-"/>
    <s v="Yes"/>
    <n v="20"/>
    <n v="5"/>
    <n v="25"/>
  </r>
  <r>
    <n v="3372"/>
    <x v="140"/>
    <x v="1"/>
    <d v="2024-07-16T00:00:00"/>
    <x v="0"/>
    <n v="5"/>
    <x v="1"/>
    <s v="No"/>
    <s v="-"/>
    <s v="No"/>
    <n v="0"/>
    <n v="0"/>
    <n v="5"/>
  </r>
  <r>
    <n v="3373"/>
    <x v="141"/>
    <x v="0"/>
    <d v="2024-07-17T00:00:00"/>
    <x v="1"/>
    <n v="15"/>
    <x v="2"/>
    <s v="Yes"/>
    <n v="30"/>
    <s v="Yes"/>
    <n v="20"/>
    <n v="20"/>
    <n v="45"/>
  </r>
  <r>
    <n v="3374"/>
    <x v="142"/>
    <x v="2"/>
    <d v="2024-07-18T00:00:00"/>
    <x v="0"/>
    <n v="10"/>
    <x v="2"/>
    <s v="No"/>
    <s v="-"/>
    <s v="Yes"/>
    <n v="20"/>
    <n v="12"/>
    <n v="18"/>
  </r>
  <r>
    <n v="3375"/>
    <x v="143"/>
    <x v="1"/>
    <d v="2024-07-19T00:00:00"/>
    <x v="1"/>
    <n v="5"/>
    <x v="0"/>
    <s v="No"/>
    <s v="-"/>
    <s v="No"/>
    <n v="0"/>
    <n v="2"/>
    <n v="3"/>
  </r>
  <r>
    <n v="3376"/>
    <x v="144"/>
    <x v="0"/>
    <d v="2024-07-20T00:00:00"/>
    <x v="0"/>
    <n v="15"/>
    <x v="1"/>
    <s v="Yes"/>
    <n v="30"/>
    <s v="Yes"/>
    <n v="20"/>
    <n v="5"/>
    <n v="60"/>
  </r>
  <r>
    <n v="3377"/>
    <x v="145"/>
    <x v="2"/>
    <d v="2024-07-21T00:00:00"/>
    <x v="1"/>
    <n v="10"/>
    <x v="0"/>
    <s v="No"/>
    <s v="-"/>
    <s v="Yes"/>
    <n v="20"/>
    <n v="10"/>
    <n v="20"/>
  </r>
  <r>
    <n v="3378"/>
    <x v="146"/>
    <x v="1"/>
    <d v="2024-07-22T00:00:00"/>
    <x v="0"/>
    <n v="5"/>
    <x v="2"/>
    <s v="No"/>
    <s v="-"/>
    <s v="No"/>
    <n v="0"/>
    <n v="0"/>
    <n v="5"/>
  </r>
  <r>
    <n v="3379"/>
    <x v="147"/>
    <x v="0"/>
    <d v="2024-07-23T00:00:00"/>
    <x v="1"/>
    <n v="15"/>
    <x v="0"/>
    <s v="Yes"/>
    <n v="30"/>
    <s v="Yes"/>
    <n v="20"/>
    <n v="3"/>
    <n v="62"/>
  </r>
  <r>
    <n v="3380"/>
    <x v="148"/>
    <x v="2"/>
    <d v="2024-07-24T00:00:00"/>
    <x v="0"/>
    <n v="10"/>
    <x v="1"/>
    <s v="No"/>
    <s v="-"/>
    <s v="Yes"/>
    <n v="20"/>
    <n v="15"/>
    <n v="15"/>
  </r>
  <r>
    <n v="3381"/>
    <x v="149"/>
    <x v="1"/>
    <d v="2024-07-25T00:00:00"/>
    <x v="1"/>
    <n v="5"/>
    <x v="0"/>
    <s v="No"/>
    <s v="-"/>
    <s v="No"/>
    <n v="0"/>
    <n v="1"/>
    <n v="4"/>
  </r>
  <r>
    <n v="3382"/>
    <x v="150"/>
    <x v="0"/>
    <d v="2024-07-26T00:00:00"/>
    <x v="0"/>
    <n v="15"/>
    <x v="2"/>
    <s v="Yes"/>
    <n v="30"/>
    <s v="Yes"/>
    <n v="20"/>
    <n v="7"/>
    <n v="58"/>
  </r>
  <r>
    <n v="3383"/>
    <x v="151"/>
    <x v="2"/>
    <d v="2024-07-27T00:00:00"/>
    <x v="1"/>
    <n v="10"/>
    <x v="0"/>
    <s v="No"/>
    <s v="-"/>
    <s v="Yes"/>
    <n v="20"/>
    <n v="10"/>
    <n v="20"/>
  </r>
  <r>
    <n v="3384"/>
    <x v="152"/>
    <x v="1"/>
    <d v="2024-07-28T00:00:00"/>
    <x v="0"/>
    <n v="5"/>
    <x v="1"/>
    <s v="No"/>
    <s v="-"/>
    <s v="No"/>
    <n v="0"/>
    <n v="0"/>
    <n v="5"/>
  </r>
  <r>
    <n v="3385"/>
    <x v="153"/>
    <x v="0"/>
    <d v="2024-07-29T00:00:00"/>
    <x v="1"/>
    <n v="15"/>
    <x v="0"/>
    <s v="Yes"/>
    <n v="30"/>
    <s v="Yes"/>
    <n v="20"/>
    <n v="20"/>
    <n v="45"/>
  </r>
  <r>
    <n v="3386"/>
    <x v="154"/>
    <x v="2"/>
    <d v="2024-07-30T00:00:00"/>
    <x v="0"/>
    <n v="10"/>
    <x v="2"/>
    <s v="No"/>
    <s v="-"/>
    <s v="Yes"/>
    <n v="20"/>
    <n v="15"/>
    <n v="15"/>
  </r>
  <r>
    <n v="3387"/>
    <x v="155"/>
    <x v="1"/>
    <d v="2024-07-31T00:00:00"/>
    <x v="1"/>
    <n v="5"/>
    <x v="0"/>
    <s v="No"/>
    <s v="-"/>
    <s v="No"/>
    <n v="0"/>
    <n v="1"/>
    <n v="4"/>
  </r>
  <r>
    <n v="3388"/>
    <x v="156"/>
    <x v="0"/>
    <d v="2024-08-01T00:00:00"/>
    <x v="0"/>
    <n v="15"/>
    <x v="1"/>
    <s v="Yes"/>
    <n v="30"/>
    <s v="Yes"/>
    <n v="20"/>
    <n v="3"/>
    <n v="62"/>
  </r>
  <r>
    <n v="3389"/>
    <x v="157"/>
    <x v="2"/>
    <d v="2024-08-02T00:00:00"/>
    <x v="1"/>
    <n v="10"/>
    <x v="0"/>
    <s v="No"/>
    <s v="-"/>
    <s v="Yes"/>
    <n v="20"/>
    <n v="10"/>
    <n v="20"/>
  </r>
  <r>
    <n v="3390"/>
    <x v="158"/>
    <x v="1"/>
    <d v="2024-08-03T00:00:00"/>
    <x v="0"/>
    <n v="5"/>
    <x v="2"/>
    <s v="No"/>
    <s v="-"/>
    <s v="No"/>
    <n v="0"/>
    <n v="0"/>
    <n v="5"/>
  </r>
  <r>
    <n v="3391"/>
    <x v="58"/>
    <x v="0"/>
    <d v="2024-08-04T00:00:00"/>
    <x v="1"/>
    <n v="15"/>
    <x v="0"/>
    <s v="Yes"/>
    <n v="30"/>
    <s v="Yes"/>
    <n v="20"/>
    <n v="15"/>
    <n v="50"/>
  </r>
  <r>
    <n v="3392"/>
    <x v="159"/>
    <x v="2"/>
    <d v="2024-08-05T00:00:00"/>
    <x v="0"/>
    <n v="10"/>
    <x v="1"/>
    <s v="No"/>
    <s v="-"/>
    <s v="Yes"/>
    <n v="20"/>
    <n v="15"/>
    <n v="15"/>
  </r>
  <r>
    <n v="3393"/>
    <x v="160"/>
    <x v="1"/>
    <d v="2024-08-06T00:00:00"/>
    <x v="1"/>
    <n v="5"/>
    <x v="0"/>
    <s v="No"/>
    <s v="-"/>
    <s v="No"/>
    <n v="0"/>
    <n v="1"/>
    <n v="4"/>
  </r>
  <r>
    <n v="3394"/>
    <x v="161"/>
    <x v="0"/>
    <d v="2024-08-07T00:00:00"/>
    <x v="0"/>
    <n v="15"/>
    <x v="2"/>
    <s v="Yes"/>
    <n v="30"/>
    <s v="Yes"/>
    <n v="20"/>
    <n v="7"/>
    <n v="58"/>
  </r>
  <r>
    <n v="3395"/>
    <x v="162"/>
    <x v="2"/>
    <d v="2024-08-08T00:00:00"/>
    <x v="1"/>
    <n v="10"/>
    <x v="0"/>
    <s v="No"/>
    <s v="-"/>
    <s v="Yes"/>
    <n v="20"/>
    <n v="10"/>
    <n v="20"/>
  </r>
  <r>
    <n v="3396"/>
    <x v="163"/>
    <x v="1"/>
    <d v="2024-08-09T00:00:00"/>
    <x v="0"/>
    <n v="5"/>
    <x v="1"/>
    <s v="No"/>
    <s v="-"/>
    <s v="No"/>
    <n v="0"/>
    <n v="0"/>
    <n v="5"/>
  </r>
  <r>
    <n v="3397"/>
    <x v="90"/>
    <x v="0"/>
    <d v="2024-08-10T00:00:00"/>
    <x v="1"/>
    <n v="15"/>
    <x v="0"/>
    <s v="Yes"/>
    <n v="30"/>
    <s v="Yes"/>
    <n v="20"/>
    <n v="20"/>
    <n v="45"/>
  </r>
  <r>
    <n v="3398"/>
    <x v="164"/>
    <x v="2"/>
    <d v="2024-08-11T00:00:00"/>
    <x v="0"/>
    <n v="10"/>
    <x v="2"/>
    <s v="No"/>
    <s v="-"/>
    <s v="Yes"/>
    <n v="20"/>
    <n v="15"/>
    <n v="15"/>
  </r>
  <r>
    <n v="3399"/>
    <x v="165"/>
    <x v="1"/>
    <d v="2024-08-12T00:00:00"/>
    <x v="1"/>
    <n v="5"/>
    <x v="0"/>
    <s v="No"/>
    <s v="-"/>
    <s v="No"/>
    <n v="0"/>
    <n v="1"/>
    <n v="4"/>
  </r>
  <r>
    <n v="3400"/>
    <x v="166"/>
    <x v="0"/>
    <d v="2024-08-13T00:00:00"/>
    <x v="0"/>
    <n v="15"/>
    <x v="1"/>
    <s v="Yes"/>
    <n v="30"/>
    <s v="Yes"/>
    <n v="20"/>
    <n v="5"/>
    <n v="60"/>
  </r>
  <r>
    <n v="3401"/>
    <x v="167"/>
    <x v="2"/>
    <d v="2024-08-14T00:00:00"/>
    <x v="1"/>
    <n v="10"/>
    <x v="0"/>
    <s v="No"/>
    <s v="-"/>
    <s v="Yes"/>
    <n v="20"/>
    <n v="10"/>
    <n v="20"/>
  </r>
  <r>
    <n v="3402"/>
    <x v="168"/>
    <x v="1"/>
    <d v="2024-08-15T00:00:00"/>
    <x v="0"/>
    <n v="5"/>
    <x v="2"/>
    <s v="No"/>
    <s v="-"/>
    <s v="No"/>
    <n v="0"/>
    <n v="0"/>
    <n v="5"/>
  </r>
  <r>
    <n v="3403"/>
    <x v="169"/>
    <x v="0"/>
    <d v="2024-08-16T00:00:00"/>
    <x v="1"/>
    <n v="15"/>
    <x v="0"/>
    <s v="Yes"/>
    <n v="30"/>
    <s v="Yes"/>
    <n v="20"/>
    <n v="3"/>
    <n v="62"/>
  </r>
  <r>
    <n v="3404"/>
    <x v="170"/>
    <x v="2"/>
    <d v="2024-08-17T00:00:00"/>
    <x v="0"/>
    <n v="10"/>
    <x v="1"/>
    <s v="No"/>
    <s v="-"/>
    <s v="Yes"/>
    <n v="20"/>
    <n v="15"/>
    <n v="15"/>
  </r>
  <r>
    <n v="3405"/>
    <x v="171"/>
    <x v="1"/>
    <d v="2024-08-18T00:00:00"/>
    <x v="1"/>
    <n v="5"/>
    <x v="0"/>
    <s v="No"/>
    <s v="-"/>
    <s v="No"/>
    <n v="0"/>
    <n v="1"/>
    <n v="4"/>
  </r>
  <r>
    <n v="3406"/>
    <x v="172"/>
    <x v="1"/>
    <d v="2024-08-19T00:00:00"/>
    <x v="0"/>
    <n v="5"/>
    <x v="0"/>
    <s v="No"/>
    <s v="-"/>
    <s v="No"/>
    <n v="0"/>
    <n v="0"/>
    <n v="5"/>
  </r>
  <r>
    <n v="3407"/>
    <x v="173"/>
    <x v="0"/>
    <d v="2024-08-20T00:00:00"/>
    <x v="1"/>
    <n v="15"/>
    <x v="2"/>
    <s v="Yes"/>
    <n v="30"/>
    <s v="Yes"/>
    <n v="20"/>
    <n v="7"/>
    <n v="58"/>
  </r>
  <r>
    <n v="3408"/>
    <x v="174"/>
    <x v="2"/>
    <d v="2024-08-21T00:00:00"/>
    <x v="0"/>
    <n v="10"/>
    <x v="1"/>
    <s v="No"/>
    <s v="-"/>
    <s v="Yes"/>
    <n v="20"/>
    <n v="10"/>
    <n v="20"/>
  </r>
  <r>
    <n v="3409"/>
    <x v="175"/>
    <x v="1"/>
    <d v="2024-08-22T00:00:00"/>
    <x v="1"/>
    <n v="5"/>
    <x v="2"/>
    <s v="No"/>
    <s v="-"/>
    <s v="No"/>
    <n v="0"/>
    <n v="1"/>
    <n v="4"/>
  </r>
  <r>
    <n v="3410"/>
    <x v="176"/>
    <x v="0"/>
    <d v="2024-08-23T00:00:00"/>
    <x v="0"/>
    <n v="15"/>
    <x v="0"/>
    <s v="Yes"/>
    <n v="30"/>
    <s v="Yes"/>
    <n v="20"/>
    <n v="15"/>
    <n v="50"/>
  </r>
  <r>
    <n v="3411"/>
    <x v="177"/>
    <x v="2"/>
    <d v="2024-08-24T00:00:00"/>
    <x v="1"/>
    <n v="10"/>
    <x v="0"/>
    <s v="No"/>
    <s v="-"/>
    <s v="Yes"/>
    <n v="20"/>
    <n v="5"/>
    <n v="25"/>
  </r>
  <r>
    <n v="3412"/>
    <x v="178"/>
    <x v="1"/>
    <d v="2024-08-25T00:00:00"/>
    <x v="0"/>
    <n v="5"/>
    <x v="1"/>
    <s v="No"/>
    <s v="-"/>
    <s v="No"/>
    <n v="0"/>
    <n v="0"/>
    <n v="5"/>
  </r>
  <r>
    <n v="3413"/>
    <x v="179"/>
    <x v="0"/>
    <d v="2024-08-26T00:00:00"/>
    <x v="1"/>
    <n v="15"/>
    <x v="2"/>
    <s v="Yes"/>
    <n v="30"/>
    <s v="Yes"/>
    <n v="20"/>
    <n v="20"/>
    <n v="45"/>
  </r>
  <r>
    <n v="3414"/>
    <x v="180"/>
    <x v="2"/>
    <d v="2024-08-27T00:00:00"/>
    <x v="0"/>
    <n v="10"/>
    <x v="2"/>
    <s v="No"/>
    <s v="-"/>
    <s v="Yes"/>
    <n v="20"/>
    <n v="12"/>
    <n v="18"/>
  </r>
  <r>
    <n v="3415"/>
    <x v="181"/>
    <x v="1"/>
    <d v="2024-08-28T00:00:00"/>
    <x v="1"/>
    <n v="5"/>
    <x v="0"/>
    <s v="No"/>
    <s v="-"/>
    <s v="No"/>
    <n v="0"/>
    <n v="2"/>
    <n v="3"/>
  </r>
  <r>
    <n v="3416"/>
    <x v="182"/>
    <x v="0"/>
    <d v="2024-08-29T00:00:00"/>
    <x v="0"/>
    <n v="15"/>
    <x v="1"/>
    <s v="Yes"/>
    <n v="30"/>
    <s v="Yes"/>
    <n v="20"/>
    <n v="5"/>
    <n v="60"/>
  </r>
  <r>
    <n v="3417"/>
    <x v="183"/>
    <x v="2"/>
    <d v="2024-08-30T00:00:00"/>
    <x v="1"/>
    <n v="10"/>
    <x v="0"/>
    <s v="No"/>
    <s v="-"/>
    <s v="Yes"/>
    <n v="20"/>
    <n v="10"/>
    <n v="20"/>
  </r>
  <r>
    <n v="3418"/>
    <x v="184"/>
    <x v="1"/>
    <d v="2024-08-31T00:00:00"/>
    <x v="0"/>
    <n v="5"/>
    <x v="2"/>
    <s v="No"/>
    <s v="-"/>
    <s v="No"/>
    <n v="0"/>
    <n v="0"/>
    <n v="5"/>
  </r>
  <r>
    <n v="3419"/>
    <x v="185"/>
    <x v="0"/>
    <d v="2024-09-01T00:00:00"/>
    <x v="1"/>
    <n v="15"/>
    <x v="0"/>
    <s v="Yes"/>
    <n v="30"/>
    <s v="Yes"/>
    <n v="20"/>
    <n v="3"/>
    <n v="62"/>
  </r>
  <r>
    <n v="3420"/>
    <x v="186"/>
    <x v="2"/>
    <d v="2024-09-02T00:00:00"/>
    <x v="0"/>
    <n v="10"/>
    <x v="1"/>
    <s v="No"/>
    <s v="-"/>
    <s v="Yes"/>
    <n v="20"/>
    <n v="15"/>
    <n v="15"/>
  </r>
  <r>
    <n v="3421"/>
    <x v="15"/>
    <x v="1"/>
    <d v="2024-09-03T00:00:00"/>
    <x v="1"/>
    <n v="5"/>
    <x v="0"/>
    <s v="No"/>
    <s v="-"/>
    <s v="No"/>
    <n v="0"/>
    <n v="1"/>
    <n v="4"/>
  </r>
  <r>
    <n v="3422"/>
    <x v="187"/>
    <x v="0"/>
    <d v="2024-09-04T00:00:00"/>
    <x v="0"/>
    <n v="15"/>
    <x v="2"/>
    <s v="Yes"/>
    <n v="30"/>
    <s v="Yes"/>
    <n v="20"/>
    <n v="7"/>
    <n v="58"/>
  </r>
  <r>
    <n v="3423"/>
    <x v="188"/>
    <x v="2"/>
    <d v="2024-09-05T00:00:00"/>
    <x v="1"/>
    <n v="10"/>
    <x v="0"/>
    <s v="No"/>
    <s v="-"/>
    <s v="Yes"/>
    <n v="20"/>
    <n v="10"/>
    <n v="20"/>
  </r>
  <r>
    <n v="3424"/>
    <x v="14"/>
    <x v="1"/>
    <d v="2024-09-06T00:00:00"/>
    <x v="0"/>
    <n v="5"/>
    <x v="1"/>
    <s v="No"/>
    <s v="-"/>
    <s v="No"/>
    <n v="0"/>
    <n v="0"/>
    <n v="5"/>
  </r>
  <r>
    <n v="3425"/>
    <x v="189"/>
    <x v="0"/>
    <d v="2024-09-07T00:00:00"/>
    <x v="1"/>
    <n v="15"/>
    <x v="0"/>
    <s v="Yes"/>
    <n v="30"/>
    <s v="Yes"/>
    <n v="20"/>
    <n v="20"/>
    <n v="45"/>
  </r>
  <r>
    <n v="3426"/>
    <x v="167"/>
    <x v="2"/>
    <d v="2024-09-08T00:00:00"/>
    <x v="0"/>
    <n v="10"/>
    <x v="2"/>
    <s v="No"/>
    <s v="-"/>
    <s v="Yes"/>
    <n v="20"/>
    <n v="15"/>
    <n v="15"/>
  </r>
  <r>
    <n v="3427"/>
    <x v="190"/>
    <x v="1"/>
    <d v="2024-09-09T00:00:00"/>
    <x v="1"/>
    <n v="5"/>
    <x v="0"/>
    <s v="No"/>
    <s v="-"/>
    <s v="No"/>
    <n v="0"/>
    <n v="1"/>
    <n v="4"/>
  </r>
  <r>
    <n v="3428"/>
    <x v="191"/>
    <x v="0"/>
    <d v="2024-09-10T00:00:00"/>
    <x v="0"/>
    <n v="15"/>
    <x v="1"/>
    <s v="Yes"/>
    <n v="30"/>
    <s v="Yes"/>
    <n v="20"/>
    <n v="3"/>
    <n v="62"/>
  </r>
  <r>
    <n v="3429"/>
    <x v="192"/>
    <x v="2"/>
    <d v="2024-09-11T00:00:00"/>
    <x v="1"/>
    <n v="10"/>
    <x v="0"/>
    <s v="No"/>
    <s v="-"/>
    <s v="Yes"/>
    <n v="20"/>
    <n v="10"/>
    <n v="20"/>
  </r>
  <r>
    <n v="3430"/>
    <x v="193"/>
    <x v="1"/>
    <d v="2024-09-12T00:00:00"/>
    <x v="0"/>
    <n v="5"/>
    <x v="2"/>
    <s v="No"/>
    <s v="-"/>
    <s v="No"/>
    <n v="0"/>
    <n v="0"/>
    <n v="5"/>
  </r>
  <r>
    <n v="3431"/>
    <x v="194"/>
    <x v="0"/>
    <d v="2024-09-13T00:00:00"/>
    <x v="1"/>
    <n v="15"/>
    <x v="0"/>
    <s v="Yes"/>
    <n v="30"/>
    <s v="Yes"/>
    <n v="20"/>
    <n v="15"/>
    <n v="50"/>
  </r>
  <r>
    <n v="3432"/>
    <x v="195"/>
    <x v="2"/>
    <d v="2024-09-14T00:00:00"/>
    <x v="0"/>
    <n v="10"/>
    <x v="1"/>
    <s v="No"/>
    <s v="-"/>
    <s v="Yes"/>
    <n v="20"/>
    <n v="15"/>
    <n v="15"/>
  </r>
  <r>
    <n v="3433"/>
    <x v="196"/>
    <x v="1"/>
    <d v="2024-09-15T00:00:00"/>
    <x v="1"/>
    <n v="5"/>
    <x v="0"/>
    <s v="No"/>
    <s v="-"/>
    <s v="No"/>
    <n v="0"/>
    <n v="1"/>
    <n v="4"/>
  </r>
  <r>
    <n v="3434"/>
    <x v="197"/>
    <x v="0"/>
    <d v="2024-09-16T00:00:00"/>
    <x v="0"/>
    <n v="15"/>
    <x v="2"/>
    <s v="Yes"/>
    <n v="30"/>
    <s v="Yes"/>
    <n v="20"/>
    <n v="7"/>
    <n v="58"/>
  </r>
  <r>
    <n v="3435"/>
    <x v="198"/>
    <x v="2"/>
    <d v="2024-09-17T00:00:00"/>
    <x v="1"/>
    <n v="10"/>
    <x v="0"/>
    <s v="No"/>
    <s v="-"/>
    <s v="Yes"/>
    <n v="20"/>
    <n v="10"/>
    <n v="20"/>
  </r>
  <r>
    <n v="3436"/>
    <x v="199"/>
    <x v="1"/>
    <d v="2024-09-18T00:00:00"/>
    <x v="0"/>
    <n v="5"/>
    <x v="0"/>
    <s v="No"/>
    <s v="-"/>
    <s v="No"/>
    <n v="0"/>
    <n v="0"/>
    <n v="5"/>
  </r>
  <r>
    <n v="3437"/>
    <x v="200"/>
    <x v="0"/>
    <d v="2024-09-19T00:00:00"/>
    <x v="1"/>
    <n v="15"/>
    <x v="2"/>
    <s v="Yes"/>
    <n v="30"/>
    <s v="Yes"/>
    <n v="20"/>
    <n v="7"/>
    <n v="58"/>
  </r>
  <r>
    <n v="3438"/>
    <x v="201"/>
    <x v="2"/>
    <d v="2024-09-20T00:00:00"/>
    <x v="0"/>
    <n v="10"/>
    <x v="1"/>
    <s v="No"/>
    <s v="-"/>
    <s v="Yes"/>
    <n v="20"/>
    <n v="10"/>
    <n v="20"/>
  </r>
  <r>
    <n v="3439"/>
    <x v="202"/>
    <x v="1"/>
    <d v="2024-09-21T00:00:00"/>
    <x v="1"/>
    <n v="5"/>
    <x v="2"/>
    <s v="No"/>
    <s v="-"/>
    <s v="No"/>
    <n v="0"/>
    <n v="1"/>
    <n v="4"/>
  </r>
  <r>
    <n v="3440"/>
    <x v="203"/>
    <x v="0"/>
    <d v="2024-09-22T00:00:00"/>
    <x v="0"/>
    <n v="15"/>
    <x v="0"/>
    <s v="Yes"/>
    <n v="30"/>
    <s v="Yes"/>
    <n v="20"/>
    <n v="15"/>
    <n v="50"/>
  </r>
  <r>
    <n v="3441"/>
    <x v="204"/>
    <x v="2"/>
    <d v="2024-09-23T00:00:00"/>
    <x v="1"/>
    <n v="10"/>
    <x v="0"/>
    <s v="No"/>
    <s v="-"/>
    <s v="Yes"/>
    <n v="20"/>
    <n v="5"/>
    <n v="25"/>
  </r>
  <r>
    <n v="3442"/>
    <x v="205"/>
    <x v="1"/>
    <d v="2024-09-24T00:00:00"/>
    <x v="0"/>
    <n v="5"/>
    <x v="1"/>
    <s v="No"/>
    <s v="-"/>
    <s v="No"/>
    <n v="0"/>
    <n v="0"/>
    <n v="5"/>
  </r>
  <r>
    <n v="3443"/>
    <x v="206"/>
    <x v="0"/>
    <d v="2024-09-25T00:00:00"/>
    <x v="1"/>
    <n v="15"/>
    <x v="2"/>
    <s v="Yes"/>
    <n v="30"/>
    <s v="Yes"/>
    <n v="20"/>
    <n v="20"/>
    <n v="45"/>
  </r>
  <r>
    <n v="3444"/>
    <x v="207"/>
    <x v="2"/>
    <d v="2024-09-26T00:00:00"/>
    <x v="0"/>
    <n v="10"/>
    <x v="2"/>
    <s v="No"/>
    <s v="-"/>
    <s v="Yes"/>
    <n v="20"/>
    <n v="12"/>
    <n v="18"/>
  </r>
  <r>
    <n v="3445"/>
    <x v="37"/>
    <x v="1"/>
    <d v="2024-09-27T00:00:00"/>
    <x v="1"/>
    <n v="5"/>
    <x v="0"/>
    <s v="No"/>
    <s v="-"/>
    <s v="No"/>
    <n v="0"/>
    <n v="2"/>
    <n v="3"/>
  </r>
  <r>
    <n v="3446"/>
    <x v="208"/>
    <x v="0"/>
    <d v="2024-09-28T00:00:00"/>
    <x v="0"/>
    <n v="15"/>
    <x v="1"/>
    <s v="Yes"/>
    <n v="30"/>
    <s v="Yes"/>
    <n v="20"/>
    <n v="5"/>
    <n v="60"/>
  </r>
  <r>
    <n v="3447"/>
    <x v="209"/>
    <x v="2"/>
    <d v="2024-09-29T00:00:00"/>
    <x v="1"/>
    <n v="10"/>
    <x v="0"/>
    <s v="No"/>
    <s v="-"/>
    <s v="Yes"/>
    <n v="20"/>
    <n v="10"/>
    <n v="20"/>
  </r>
  <r>
    <n v="3448"/>
    <x v="210"/>
    <x v="1"/>
    <d v="2024-09-30T00:00:00"/>
    <x v="0"/>
    <n v="5"/>
    <x v="2"/>
    <s v="No"/>
    <s v="-"/>
    <s v="No"/>
    <n v="0"/>
    <n v="0"/>
    <n v="5"/>
  </r>
  <r>
    <n v="3449"/>
    <x v="211"/>
    <x v="0"/>
    <d v="2024-10-01T00:00:00"/>
    <x v="1"/>
    <n v="15"/>
    <x v="0"/>
    <s v="Yes"/>
    <n v="30"/>
    <s v="Yes"/>
    <n v="20"/>
    <n v="3"/>
    <n v="62"/>
  </r>
  <r>
    <n v="3450"/>
    <x v="212"/>
    <x v="2"/>
    <d v="2024-10-02T00:00:00"/>
    <x v="0"/>
    <n v="10"/>
    <x v="1"/>
    <s v="No"/>
    <s v="-"/>
    <s v="Yes"/>
    <n v="20"/>
    <n v="15"/>
    <n v="15"/>
  </r>
  <r>
    <n v="3451"/>
    <x v="213"/>
    <x v="1"/>
    <d v="2024-10-03T00:00:00"/>
    <x v="1"/>
    <n v="5"/>
    <x v="0"/>
    <s v="No"/>
    <s v="-"/>
    <s v="No"/>
    <n v="0"/>
    <n v="1"/>
    <n v="4"/>
  </r>
  <r>
    <n v="3452"/>
    <x v="191"/>
    <x v="0"/>
    <d v="2024-10-04T00:00:00"/>
    <x v="0"/>
    <n v="15"/>
    <x v="2"/>
    <s v="Yes"/>
    <n v="30"/>
    <s v="Yes"/>
    <n v="20"/>
    <n v="7"/>
    <n v="58"/>
  </r>
  <r>
    <n v="3453"/>
    <x v="45"/>
    <x v="2"/>
    <d v="2024-10-05T00:00:00"/>
    <x v="1"/>
    <n v="10"/>
    <x v="0"/>
    <s v="No"/>
    <s v="-"/>
    <s v="Yes"/>
    <n v="20"/>
    <n v="10"/>
    <n v="20"/>
  </r>
  <r>
    <n v="3454"/>
    <x v="214"/>
    <x v="1"/>
    <d v="2024-10-06T00:00:00"/>
    <x v="0"/>
    <n v="5"/>
    <x v="1"/>
    <s v="No"/>
    <s v="-"/>
    <s v="No"/>
    <n v="0"/>
    <n v="0"/>
    <n v="5"/>
  </r>
  <r>
    <n v="3455"/>
    <x v="215"/>
    <x v="0"/>
    <d v="2024-10-07T00:00:00"/>
    <x v="1"/>
    <n v="15"/>
    <x v="0"/>
    <s v="Yes"/>
    <n v="30"/>
    <s v="Yes"/>
    <n v="20"/>
    <n v="20"/>
    <n v="45"/>
  </r>
  <r>
    <n v="3456"/>
    <x v="216"/>
    <x v="2"/>
    <d v="2024-10-08T00:00:00"/>
    <x v="0"/>
    <n v="10"/>
    <x v="2"/>
    <s v="No"/>
    <s v="-"/>
    <s v="Yes"/>
    <n v="20"/>
    <n v="15"/>
    <n v="15"/>
  </r>
  <r>
    <n v="3457"/>
    <x v="217"/>
    <x v="1"/>
    <d v="2024-10-09T00:00:00"/>
    <x v="1"/>
    <n v="5"/>
    <x v="0"/>
    <s v="No"/>
    <s v="-"/>
    <s v="No"/>
    <n v="0"/>
    <n v="1"/>
    <n v="4"/>
  </r>
  <r>
    <n v="3458"/>
    <x v="218"/>
    <x v="0"/>
    <d v="2024-10-10T00:00:00"/>
    <x v="0"/>
    <n v="15"/>
    <x v="1"/>
    <s v="Yes"/>
    <n v="30"/>
    <s v="Yes"/>
    <n v="20"/>
    <n v="3"/>
    <n v="62"/>
  </r>
  <r>
    <n v="3459"/>
    <x v="219"/>
    <x v="2"/>
    <d v="2024-10-11T00:00:00"/>
    <x v="1"/>
    <n v="10"/>
    <x v="0"/>
    <s v="No"/>
    <s v="-"/>
    <s v="Yes"/>
    <n v="20"/>
    <n v="10"/>
    <n v="20"/>
  </r>
  <r>
    <n v="3460"/>
    <x v="127"/>
    <x v="1"/>
    <d v="2024-10-12T00:00:00"/>
    <x v="0"/>
    <n v="5"/>
    <x v="2"/>
    <s v="No"/>
    <s v="-"/>
    <s v="No"/>
    <n v="0"/>
    <n v="0"/>
    <n v="5"/>
  </r>
  <r>
    <n v="3461"/>
    <x v="220"/>
    <x v="0"/>
    <d v="2024-10-13T00:00:00"/>
    <x v="1"/>
    <n v="15"/>
    <x v="0"/>
    <s v="Yes"/>
    <n v="30"/>
    <s v="Yes"/>
    <n v="20"/>
    <n v="15"/>
    <n v="50"/>
  </r>
  <r>
    <n v="3462"/>
    <x v="221"/>
    <x v="2"/>
    <d v="2024-10-14T00:00:00"/>
    <x v="0"/>
    <n v="10"/>
    <x v="1"/>
    <s v="No"/>
    <s v="-"/>
    <s v="Yes"/>
    <n v="20"/>
    <n v="15"/>
    <n v="15"/>
  </r>
  <r>
    <n v="3463"/>
    <x v="222"/>
    <x v="1"/>
    <d v="2024-10-15T00:00:00"/>
    <x v="1"/>
    <n v="5"/>
    <x v="0"/>
    <s v="No"/>
    <s v="-"/>
    <s v="No"/>
    <n v="0"/>
    <n v="1"/>
    <n v="4"/>
  </r>
  <r>
    <n v="3464"/>
    <x v="223"/>
    <x v="0"/>
    <d v="2024-10-16T00:00:00"/>
    <x v="0"/>
    <n v="15"/>
    <x v="2"/>
    <s v="Yes"/>
    <n v="30"/>
    <s v="Yes"/>
    <n v="20"/>
    <n v="7"/>
    <n v="58"/>
  </r>
  <r>
    <n v="3465"/>
    <x v="224"/>
    <x v="2"/>
    <d v="2024-10-17T00:00:00"/>
    <x v="1"/>
    <n v="10"/>
    <x v="0"/>
    <s v="No"/>
    <s v="-"/>
    <s v="Yes"/>
    <n v="20"/>
    <n v="10"/>
    <n v="20"/>
  </r>
  <r>
    <n v="3466"/>
    <x v="225"/>
    <x v="1"/>
    <d v="2024-10-18T00:00:00"/>
    <x v="0"/>
    <n v="5"/>
    <x v="1"/>
    <s v="No"/>
    <s v="-"/>
    <s v="No"/>
    <n v="0"/>
    <n v="0"/>
    <n v="5"/>
  </r>
  <r>
    <n v="3467"/>
    <x v="226"/>
    <x v="0"/>
    <d v="2024-10-19T00:00:00"/>
    <x v="1"/>
    <n v="15"/>
    <x v="0"/>
    <s v="Yes"/>
    <n v="30"/>
    <s v="Yes"/>
    <n v="20"/>
    <n v="15"/>
    <n v="50"/>
  </r>
  <r>
    <n v="3468"/>
    <x v="227"/>
    <x v="2"/>
    <d v="2024-10-20T00:00:00"/>
    <x v="0"/>
    <n v="10"/>
    <x v="2"/>
    <s v="No"/>
    <s v="-"/>
    <s v="Yes"/>
    <n v="20"/>
    <n v="12"/>
    <n v="18"/>
  </r>
  <r>
    <n v="3469"/>
    <x v="228"/>
    <x v="1"/>
    <d v="2024-10-21T00:00:00"/>
    <x v="1"/>
    <n v="5"/>
    <x v="0"/>
    <s v="No"/>
    <s v="-"/>
    <s v="No"/>
    <n v="0"/>
    <n v="2"/>
    <n v="3"/>
  </r>
  <r>
    <n v="3470"/>
    <x v="229"/>
    <x v="0"/>
    <d v="2024-10-22T00:00:00"/>
    <x v="0"/>
    <n v="15"/>
    <x v="1"/>
    <s v="Yes"/>
    <n v="30"/>
    <s v="Yes"/>
    <n v="20"/>
    <n v="5"/>
    <n v="60"/>
  </r>
  <r>
    <n v="3471"/>
    <x v="230"/>
    <x v="2"/>
    <d v="2024-10-23T00:00:00"/>
    <x v="1"/>
    <n v="10"/>
    <x v="0"/>
    <s v="No"/>
    <s v="-"/>
    <s v="Yes"/>
    <n v="20"/>
    <n v="10"/>
    <n v="20"/>
  </r>
  <r>
    <n v="3472"/>
    <x v="231"/>
    <x v="1"/>
    <d v="2024-10-24T00:00:00"/>
    <x v="0"/>
    <n v="5"/>
    <x v="2"/>
    <s v="No"/>
    <s v="-"/>
    <s v="No"/>
    <n v="0"/>
    <n v="0"/>
    <n v="5"/>
  </r>
  <r>
    <n v="3473"/>
    <x v="140"/>
    <x v="0"/>
    <d v="2024-10-25T00:00:00"/>
    <x v="1"/>
    <n v="15"/>
    <x v="0"/>
    <s v="Yes"/>
    <n v="30"/>
    <s v="Yes"/>
    <n v="20"/>
    <n v="3"/>
    <n v="62"/>
  </r>
  <r>
    <n v="3474"/>
    <x v="232"/>
    <x v="2"/>
    <d v="2024-10-26T00:00:00"/>
    <x v="0"/>
    <n v="10"/>
    <x v="1"/>
    <s v="No"/>
    <s v="-"/>
    <s v="Yes"/>
    <n v="20"/>
    <n v="15"/>
    <n v="15"/>
  </r>
  <r>
    <n v="3475"/>
    <x v="233"/>
    <x v="1"/>
    <d v="2024-10-27T00:00:00"/>
    <x v="1"/>
    <n v="5"/>
    <x v="0"/>
    <s v="No"/>
    <s v="-"/>
    <s v="No"/>
    <n v="0"/>
    <n v="1"/>
    <n v="4"/>
  </r>
  <r>
    <n v="3476"/>
    <x v="234"/>
    <x v="0"/>
    <d v="2024-10-28T00:00:00"/>
    <x v="0"/>
    <n v="15"/>
    <x v="2"/>
    <s v="Yes"/>
    <n v="30"/>
    <s v="Yes"/>
    <n v="20"/>
    <n v="7"/>
    <n v="58"/>
  </r>
  <r>
    <n v="3477"/>
    <x v="235"/>
    <x v="2"/>
    <d v="2024-10-29T00:00:00"/>
    <x v="1"/>
    <n v="10"/>
    <x v="0"/>
    <s v="No"/>
    <s v="-"/>
    <s v="Yes"/>
    <n v="20"/>
    <n v="10"/>
    <n v="20"/>
  </r>
  <r>
    <n v="3478"/>
    <x v="236"/>
    <x v="1"/>
    <d v="2024-10-30T00:00:00"/>
    <x v="0"/>
    <n v="5"/>
    <x v="1"/>
    <s v="No"/>
    <s v="-"/>
    <s v="No"/>
    <n v="0"/>
    <n v="0"/>
    <n v="5"/>
  </r>
  <r>
    <n v="3479"/>
    <x v="237"/>
    <x v="0"/>
    <d v="2024-10-31T00:00:00"/>
    <x v="1"/>
    <n v="15"/>
    <x v="0"/>
    <s v="Yes"/>
    <n v="30"/>
    <s v="Yes"/>
    <n v="20"/>
    <n v="20"/>
    <n v="45"/>
  </r>
  <r>
    <n v="3480"/>
    <x v="238"/>
    <x v="2"/>
    <d v="2024-11-01T00:00:00"/>
    <x v="0"/>
    <n v="10"/>
    <x v="2"/>
    <s v="No"/>
    <s v="-"/>
    <s v="Yes"/>
    <n v="20"/>
    <n v="15"/>
    <n v="15"/>
  </r>
  <r>
    <n v="3481"/>
    <x v="239"/>
    <x v="1"/>
    <d v="2024-11-02T00:00:00"/>
    <x v="1"/>
    <n v="5"/>
    <x v="0"/>
    <s v="No"/>
    <s v="-"/>
    <s v="No"/>
    <n v="0"/>
    <n v="1"/>
    <n v="4"/>
  </r>
  <r>
    <n v="3482"/>
    <x v="240"/>
    <x v="0"/>
    <d v="2024-11-03T00:00:00"/>
    <x v="0"/>
    <n v="15"/>
    <x v="1"/>
    <s v="Yes"/>
    <n v="30"/>
    <s v="Yes"/>
    <n v="20"/>
    <n v="3"/>
    <n v="62"/>
  </r>
  <r>
    <n v="3483"/>
    <x v="241"/>
    <x v="2"/>
    <d v="2024-11-04T00:00:00"/>
    <x v="1"/>
    <n v="10"/>
    <x v="0"/>
    <s v="No"/>
    <s v="-"/>
    <s v="Yes"/>
    <n v="20"/>
    <n v="10"/>
    <n v="20"/>
  </r>
  <r>
    <n v="3484"/>
    <x v="242"/>
    <x v="1"/>
    <d v="2024-11-05T00:00:00"/>
    <x v="0"/>
    <n v="5"/>
    <x v="2"/>
    <s v="No"/>
    <s v="-"/>
    <s v="No"/>
    <n v="0"/>
    <n v="0"/>
    <n v="5"/>
  </r>
  <r>
    <n v="3485"/>
    <x v="243"/>
    <x v="0"/>
    <d v="2024-11-06T00:00:00"/>
    <x v="1"/>
    <n v="15"/>
    <x v="0"/>
    <s v="Yes"/>
    <n v="30"/>
    <s v="Yes"/>
    <n v="20"/>
    <n v="15"/>
    <n v="50"/>
  </r>
  <r>
    <n v="3486"/>
    <x v="244"/>
    <x v="1"/>
    <d v="2024-11-07T00:00:00"/>
    <x v="0"/>
    <n v="5"/>
    <x v="0"/>
    <s v="No"/>
    <s v="-"/>
    <s v="No"/>
    <n v="0"/>
    <n v="0"/>
    <n v="5"/>
  </r>
  <r>
    <n v="3487"/>
    <x v="245"/>
    <x v="0"/>
    <d v="2024-11-08T00:00:00"/>
    <x v="1"/>
    <n v="15"/>
    <x v="2"/>
    <s v="Yes"/>
    <n v="30"/>
    <s v="Yes"/>
    <n v="20"/>
    <n v="7"/>
    <n v="58"/>
  </r>
  <r>
    <n v="3488"/>
    <x v="246"/>
    <x v="2"/>
    <d v="2024-11-09T00:00:00"/>
    <x v="0"/>
    <n v="10"/>
    <x v="1"/>
    <s v="No"/>
    <s v="-"/>
    <s v="Yes"/>
    <n v="20"/>
    <n v="10"/>
    <n v="20"/>
  </r>
  <r>
    <n v="3489"/>
    <x v="247"/>
    <x v="1"/>
    <d v="2024-11-10T00:00:00"/>
    <x v="1"/>
    <n v="5"/>
    <x v="2"/>
    <s v="No"/>
    <s v="-"/>
    <s v="No"/>
    <n v="0"/>
    <n v="1"/>
    <n v="4"/>
  </r>
  <r>
    <n v="3490"/>
    <x v="248"/>
    <x v="0"/>
    <d v="2024-11-11T00:00:00"/>
    <x v="0"/>
    <n v="15"/>
    <x v="0"/>
    <s v="Yes"/>
    <n v="30"/>
    <s v="Yes"/>
    <n v="20"/>
    <n v="15"/>
    <n v="50"/>
  </r>
  <r>
    <n v="3491"/>
    <x v="249"/>
    <x v="2"/>
    <d v="2024-11-12T00:00:00"/>
    <x v="1"/>
    <n v="10"/>
    <x v="0"/>
    <s v="No"/>
    <s v="-"/>
    <s v="Yes"/>
    <n v="20"/>
    <n v="5"/>
    <n v="25"/>
  </r>
  <r>
    <n v="3492"/>
    <x v="250"/>
    <x v="1"/>
    <d v="2024-11-13T00:00:00"/>
    <x v="0"/>
    <n v="5"/>
    <x v="1"/>
    <s v="No"/>
    <s v="-"/>
    <s v="No"/>
    <n v="0"/>
    <n v="0"/>
    <n v="5"/>
  </r>
  <r>
    <n v="3493"/>
    <x v="251"/>
    <x v="0"/>
    <d v="2024-11-14T00:00:00"/>
    <x v="1"/>
    <n v="15"/>
    <x v="2"/>
    <s v="Yes"/>
    <n v="30"/>
    <s v="Yes"/>
    <n v="20"/>
    <n v="20"/>
    <n v="45"/>
  </r>
  <r>
    <n v="3494"/>
    <x v="252"/>
    <x v="2"/>
    <d v="2024-11-15T00:00:00"/>
    <x v="0"/>
    <n v="10"/>
    <x v="2"/>
    <s v="No"/>
    <s v="-"/>
    <s v="Yes"/>
    <n v="20"/>
    <n v="12"/>
    <n v="18"/>
  </r>
  <r>
    <n v="3495"/>
    <x v="253"/>
    <x v="1"/>
    <d v="2024-11-16T00:00:00"/>
    <x v="1"/>
    <n v="5"/>
    <x v="0"/>
    <s v="No"/>
    <s v="-"/>
    <s v="No"/>
    <n v="0"/>
    <n v="2"/>
    <n v="3"/>
  </r>
  <r>
    <n v="3496"/>
    <x v="254"/>
    <x v="0"/>
    <d v="2024-11-17T00:00:00"/>
    <x v="0"/>
    <n v="15"/>
    <x v="1"/>
    <s v="Yes"/>
    <n v="30"/>
    <s v="Yes"/>
    <n v="20"/>
    <n v="5"/>
    <n v="60"/>
  </r>
  <r>
    <n v="3497"/>
    <x v="255"/>
    <x v="2"/>
    <d v="2024-11-18T00:00:00"/>
    <x v="1"/>
    <n v="10"/>
    <x v="0"/>
    <s v="No"/>
    <s v="-"/>
    <s v="Yes"/>
    <n v="20"/>
    <n v="10"/>
    <n v="20"/>
  </r>
  <r>
    <n v="3498"/>
    <x v="256"/>
    <x v="1"/>
    <d v="2024-11-19T00:00:00"/>
    <x v="0"/>
    <n v="5"/>
    <x v="2"/>
    <s v="No"/>
    <s v="-"/>
    <s v="No"/>
    <n v="0"/>
    <n v="0"/>
    <n v="5"/>
  </r>
  <r>
    <n v="3499"/>
    <x v="257"/>
    <x v="0"/>
    <d v="2024-11-20T00:00:00"/>
    <x v="1"/>
    <n v="15"/>
    <x v="0"/>
    <s v="Yes"/>
    <n v="30"/>
    <s v="Yes"/>
    <n v="20"/>
    <n v="3"/>
    <n v="62"/>
  </r>
  <r>
    <n v="3500"/>
    <x v="258"/>
    <x v="2"/>
    <d v="2024-11-21T00:00:00"/>
    <x v="0"/>
    <n v="10"/>
    <x v="1"/>
    <s v="No"/>
    <s v="-"/>
    <s v="Yes"/>
    <n v="20"/>
    <n v="15"/>
    <n v="15"/>
  </r>
  <r>
    <n v="3501"/>
    <x v="259"/>
    <x v="1"/>
    <d v="2024-11-22T00:00:00"/>
    <x v="1"/>
    <n v="5"/>
    <x v="0"/>
    <s v="No"/>
    <s v="-"/>
    <s v="No"/>
    <n v="0"/>
    <n v="1"/>
    <n v="4"/>
  </r>
  <r>
    <n v="3502"/>
    <x v="260"/>
    <x v="0"/>
    <d v="2024-11-23T00:00:00"/>
    <x v="0"/>
    <n v="15"/>
    <x v="2"/>
    <s v="Yes"/>
    <n v="30"/>
    <s v="Yes"/>
    <n v="20"/>
    <n v="7"/>
    <n v="58"/>
  </r>
  <r>
    <n v="3503"/>
    <x v="119"/>
    <x v="2"/>
    <d v="2024-11-24T00:00:00"/>
    <x v="1"/>
    <n v="10"/>
    <x v="0"/>
    <s v="No"/>
    <s v="-"/>
    <s v="Yes"/>
    <n v="20"/>
    <n v="10"/>
    <n v="20"/>
  </r>
  <r>
    <n v="3504"/>
    <x v="261"/>
    <x v="1"/>
    <d v="2024-11-25T00:00:00"/>
    <x v="0"/>
    <n v="5"/>
    <x v="1"/>
    <s v="No"/>
    <s v="-"/>
    <s v="No"/>
    <n v="0"/>
    <n v="0"/>
    <n v="5"/>
  </r>
  <r>
    <n v="3505"/>
    <x v="262"/>
    <x v="0"/>
    <d v="2024-11-26T00:00:00"/>
    <x v="1"/>
    <n v="15"/>
    <x v="0"/>
    <s v="Yes"/>
    <n v="30"/>
    <s v="Yes"/>
    <n v="20"/>
    <n v="20"/>
    <n v="45"/>
  </r>
  <r>
    <n v="3506"/>
    <x v="263"/>
    <x v="2"/>
    <d v="2024-11-27T00:00:00"/>
    <x v="0"/>
    <n v="10"/>
    <x v="2"/>
    <s v="No"/>
    <s v="-"/>
    <s v="Yes"/>
    <n v="20"/>
    <n v="15"/>
    <n v="15"/>
  </r>
  <r>
    <n v="3507"/>
    <x v="264"/>
    <x v="1"/>
    <d v="2024-11-28T00:00:00"/>
    <x v="1"/>
    <n v="5"/>
    <x v="0"/>
    <s v="No"/>
    <s v="-"/>
    <s v="No"/>
    <n v="0"/>
    <n v="1"/>
    <n v="4"/>
  </r>
  <r>
    <n v="3508"/>
    <x v="265"/>
    <x v="0"/>
    <d v="2024-11-29T00:00:00"/>
    <x v="0"/>
    <n v="15"/>
    <x v="1"/>
    <s v="Yes"/>
    <n v="30"/>
    <s v="Yes"/>
    <n v="20"/>
    <n v="3"/>
    <n v="62"/>
  </r>
  <r>
    <n v="3509"/>
    <x v="266"/>
    <x v="2"/>
    <d v="2024-11-30T00:00:00"/>
    <x v="1"/>
    <n v="10"/>
    <x v="0"/>
    <s v="No"/>
    <s v="-"/>
    <s v="Yes"/>
    <n v="20"/>
    <n v="10"/>
    <n v="20"/>
  </r>
  <r>
    <n v="3510"/>
    <x v="267"/>
    <x v="1"/>
    <d v="2024-12-01T00:00:00"/>
    <x v="0"/>
    <n v="5"/>
    <x v="2"/>
    <s v="No"/>
    <s v="-"/>
    <s v="No"/>
    <n v="0"/>
    <n v="0"/>
    <n v="5"/>
  </r>
  <r>
    <n v="3511"/>
    <x v="268"/>
    <x v="0"/>
    <d v="2024-12-02T00:00:00"/>
    <x v="1"/>
    <n v="15"/>
    <x v="0"/>
    <s v="Yes"/>
    <n v="30"/>
    <s v="Yes"/>
    <n v="20"/>
    <n v="15"/>
    <n v="50"/>
  </r>
  <r>
    <n v="3512"/>
    <x v="269"/>
    <x v="2"/>
    <d v="2024-12-03T00:00:00"/>
    <x v="0"/>
    <n v="10"/>
    <x v="1"/>
    <s v="No"/>
    <s v="-"/>
    <s v="Yes"/>
    <n v="20"/>
    <n v="15"/>
    <n v="15"/>
  </r>
  <r>
    <n v="3513"/>
    <x v="270"/>
    <x v="1"/>
    <d v="2024-12-04T00:00:00"/>
    <x v="1"/>
    <n v="5"/>
    <x v="0"/>
    <s v="No"/>
    <s v="-"/>
    <s v="No"/>
    <n v="0"/>
    <n v="1"/>
    <n v="4"/>
  </r>
  <r>
    <n v="3514"/>
    <x v="271"/>
    <x v="0"/>
    <d v="2024-12-05T00:00:00"/>
    <x v="0"/>
    <n v="15"/>
    <x v="2"/>
    <s v="Yes"/>
    <n v="30"/>
    <s v="Yes"/>
    <n v="20"/>
    <n v="7"/>
    <n v="58"/>
  </r>
  <r>
    <n v="3515"/>
    <x v="130"/>
    <x v="2"/>
    <d v="2024-12-06T00:00:00"/>
    <x v="1"/>
    <n v="10"/>
    <x v="0"/>
    <s v="No"/>
    <s v="-"/>
    <s v="Yes"/>
    <n v="20"/>
    <n v="10"/>
    <n v="20"/>
  </r>
  <r>
    <n v="3516"/>
    <x v="131"/>
    <x v="1"/>
    <d v="2024-12-07T00:00:00"/>
    <x v="0"/>
    <n v="5"/>
    <x v="1"/>
    <s v="No"/>
    <s v="-"/>
    <s v="No"/>
    <n v="0"/>
    <n v="0"/>
    <n v="5"/>
  </r>
  <r>
    <n v="3517"/>
    <x v="181"/>
    <x v="0"/>
    <d v="2024-12-08T00:00:00"/>
    <x v="1"/>
    <n v="15"/>
    <x v="0"/>
    <s v="Yes"/>
    <n v="30"/>
    <s v="Yes"/>
    <n v="20"/>
    <n v="20"/>
    <n v="45"/>
  </r>
  <r>
    <n v="3518"/>
    <x v="272"/>
    <x v="2"/>
    <d v="2024-12-09T00:00:00"/>
    <x v="0"/>
    <n v="10"/>
    <x v="2"/>
    <s v="No"/>
    <s v="-"/>
    <s v="Yes"/>
    <n v="20"/>
    <n v="12"/>
    <n v="18"/>
  </r>
  <r>
    <n v="3519"/>
    <x v="273"/>
    <x v="1"/>
    <d v="2024-12-10T00:00:00"/>
    <x v="1"/>
    <n v="5"/>
    <x v="0"/>
    <s v="No"/>
    <s v="-"/>
    <s v="No"/>
    <n v="0"/>
    <n v="2"/>
    <n v="3"/>
  </r>
  <r>
    <n v="3520"/>
    <x v="274"/>
    <x v="0"/>
    <d v="2024-12-11T00:00:00"/>
    <x v="0"/>
    <n v="15"/>
    <x v="1"/>
    <s v="Yes"/>
    <n v="30"/>
    <s v="Yes"/>
    <n v="20"/>
    <n v="5"/>
    <n v="60"/>
  </r>
  <r>
    <n v="3521"/>
    <x v="275"/>
    <x v="2"/>
    <d v="2024-12-12T00:00:00"/>
    <x v="1"/>
    <n v="10"/>
    <x v="0"/>
    <s v="No"/>
    <s v="-"/>
    <s v="Yes"/>
    <n v="20"/>
    <n v="10"/>
    <n v="20"/>
  </r>
  <r>
    <n v="3522"/>
    <x v="276"/>
    <x v="1"/>
    <d v="2024-12-13T00:00:00"/>
    <x v="0"/>
    <n v="5"/>
    <x v="2"/>
    <s v="No"/>
    <s v="-"/>
    <s v="No"/>
    <n v="0"/>
    <n v="0"/>
    <n v="5"/>
  </r>
  <r>
    <n v="3523"/>
    <x v="277"/>
    <x v="0"/>
    <d v="2024-12-14T00:00:00"/>
    <x v="1"/>
    <n v="15"/>
    <x v="0"/>
    <s v="Yes"/>
    <n v="30"/>
    <s v="Yes"/>
    <n v="20"/>
    <n v="3"/>
    <n v="62"/>
  </r>
  <r>
    <n v="3524"/>
    <x v="278"/>
    <x v="2"/>
    <d v="2024-12-15T00:00:00"/>
    <x v="0"/>
    <n v="10"/>
    <x v="1"/>
    <s v="No"/>
    <s v="-"/>
    <s v="Yes"/>
    <n v="20"/>
    <n v="15"/>
    <n v="15"/>
  </r>
  <r>
    <n v="3525"/>
    <x v="279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C7A90-C882-4E17-BA62-F7F7AAE01B8C}" name="Tabela dinâmica3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28:C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EE8899-9F77-4480-9709-DAAE32F81196}" name="tbl_EAPlaySeasonPass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16:C2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AFA9F-BCCC-492B-8E12-07BE97756359}" name="Tabela dinâmica1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">
  <location ref="B7:C1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6A02E5B-7B96-4144-A34F-6CD31F346193}" sourceName="Subscription Type">
  <pivotTables>
    <pivotTable tabId="3" name="Tabela dinâmica1"/>
    <pivotTable tabId="3" name="tbl_EAPlaySeasonPass"/>
    <pivotTable tabId="3" name="Tabela dinâmica3"/>
  </pivotTables>
  <data>
    <tabular pivotCacheId="1108457978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528CA28-7DA7-4E0B-9025-BBF161062CB0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G25" sqref="G2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C34"/>
  <sheetViews>
    <sheetView showGridLines="0" topLeftCell="A13" workbookViewId="0">
      <selection activeCell="R11" sqref="R11"/>
    </sheetView>
  </sheetViews>
  <sheetFormatPr defaultRowHeight="15" x14ac:dyDescent="0.25"/>
  <cols>
    <col min="2" max="2" width="21.140625" customWidth="1"/>
    <col min="3" max="3" width="37.710937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 x14ac:dyDescent="0.25">
      <c r="B2" t="s">
        <v>316</v>
      </c>
    </row>
    <row r="3" spans="2:3" x14ac:dyDescent="0.25">
      <c r="B3" t="s">
        <v>317</v>
      </c>
    </row>
    <row r="5" spans="2:3" x14ac:dyDescent="0.25">
      <c r="B5" s="12" t="s">
        <v>16</v>
      </c>
      <c r="C5" t="s">
        <v>24</v>
      </c>
    </row>
    <row r="7" spans="2:3" x14ac:dyDescent="0.25">
      <c r="B7" s="12" t="s">
        <v>314</v>
      </c>
      <c r="C7" t="s">
        <v>315</v>
      </c>
    </row>
    <row r="8" spans="2:3" x14ac:dyDescent="0.25">
      <c r="B8" s="13" t="s">
        <v>23</v>
      </c>
      <c r="C8" s="14">
        <v>217</v>
      </c>
    </row>
    <row r="9" spans="2:3" x14ac:dyDescent="0.25">
      <c r="B9" s="13" t="s">
        <v>19</v>
      </c>
      <c r="C9" s="14">
        <v>1537</v>
      </c>
    </row>
    <row r="10" spans="2:3" x14ac:dyDescent="0.25">
      <c r="B10" s="13" t="s">
        <v>313</v>
      </c>
      <c r="C10" s="14">
        <v>1754</v>
      </c>
    </row>
    <row r="12" spans="2:3" x14ac:dyDescent="0.25">
      <c r="B12" s="13" t="s">
        <v>321</v>
      </c>
    </row>
    <row r="14" spans="2:3" x14ac:dyDescent="0.25">
      <c r="B14" s="12" t="s">
        <v>16</v>
      </c>
      <c r="C14" t="s">
        <v>24</v>
      </c>
    </row>
    <row r="16" spans="2:3" x14ac:dyDescent="0.25">
      <c r="B16" s="12" t="s">
        <v>314</v>
      </c>
      <c r="C16" t="s">
        <v>319</v>
      </c>
    </row>
    <row r="17" spans="2:3" x14ac:dyDescent="0.25">
      <c r="B17" s="13" t="s">
        <v>22</v>
      </c>
      <c r="C17" s="17">
        <v>0</v>
      </c>
    </row>
    <row r="18" spans="2:3" x14ac:dyDescent="0.25">
      <c r="B18" s="13" t="s">
        <v>26</v>
      </c>
      <c r="C18" s="17">
        <v>0</v>
      </c>
    </row>
    <row r="19" spans="2:3" x14ac:dyDescent="0.25">
      <c r="B19" s="13" t="s">
        <v>18</v>
      </c>
      <c r="C19" s="17">
        <v>600</v>
      </c>
    </row>
    <row r="20" spans="2:3" x14ac:dyDescent="0.25">
      <c r="B20" s="13" t="s">
        <v>313</v>
      </c>
      <c r="C20" s="17">
        <v>600</v>
      </c>
    </row>
    <row r="22" spans="2:3" x14ac:dyDescent="0.25">
      <c r="C22" s="18">
        <f>GETPIVOTDATA("EA Play Season Pass
Price",$B$16)</f>
        <v>600</v>
      </c>
    </row>
    <row r="24" spans="2:3" x14ac:dyDescent="0.25">
      <c r="B24" s="13" t="s">
        <v>320</v>
      </c>
    </row>
    <row r="26" spans="2:3" x14ac:dyDescent="0.25">
      <c r="B26" s="12" t="s">
        <v>16</v>
      </c>
      <c r="C26" t="s">
        <v>24</v>
      </c>
    </row>
    <row r="28" spans="2:3" x14ac:dyDescent="0.25">
      <c r="B28" s="12" t="s">
        <v>314</v>
      </c>
      <c r="C28" t="s">
        <v>322</v>
      </c>
    </row>
    <row r="29" spans="2:3" x14ac:dyDescent="0.25">
      <c r="B29" s="13" t="s">
        <v>22</v>
      </c>
      <c r="C29" s="14">
        <v>0</v>
      </c>
    </row>
    <row r="30" spans="2:3" x14ac:dyDescent="0.25">
      <c r="B30" s="13" t="s">
        <v>26</v>
      </c>
      <c r="C30" s="14">
        <v>540</v>
      </c>
    </row>
    <row r="31" spans="2:3" x14ac:dyDescent="0.25">
      <c r="B31" s="13" t="s">
        <v>18</v>
      </c>
      <c r="C31" s="14">
        <v>400</v>
      </c>
    </row>
    <row r="32" spans="2:3" x14ac:dyDescent="0.25">
      <c r="B32" s="13" t="s">
        <v>313</v>
      </c>
      <c r="C32" s="14">
        <v>940</v>
      </c>
    </row>
    <row r="34" spans="3:3" x14ac:dyDescent="0.25">
      <c r="C34" s="18">
        <f>GETPIVOTDATA("Minecraft Season Pass Price",$B$28)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R101"/>
  <sheetViews>
    <sheetView showGridLines="0" showRowColHeaders="0" tabSelected="1" zoomScale="90" zoomScaleNormal="90" workbookViewId="0">
      <selection activeCell="O27" sqref="O27"/>
    </sheetView>
  </sheetViews>
  <sheetFormatPr defaultRowHeight="15" x14ac:dyDescent="0.25"/>
  <cols>
    <col min="1" max="1" width="31.42578125" style="4" customWidth="1"/>
    <col min="2" max="2" width="3.5703125" customWidth="1"/>
    <col min="3" max="3" width="9.140625" style="7"/>
    <col min="12" max="12" width="6.5703125" customWidth="1"/>
    <col min="14" max="14" width="9.140625" style="7"/>
  </cols>
  <sheetData>
    <row r="1" spans="1:18" x14ac:dyDescent="0.25"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8" ht="23.25" customHeight="1" thickBot="1" x14ac:dyDescent="0.5">
      <c r="C2" s="19" t="s">
        <v>318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6"/>
      <c r="Q2" s="16"/>
      <c r="R2" s="21"/>
    </row>
    <row r="3" spans="1:18" ht="15" customHeight="1" thickTop="1" x14ac:dyDescent="0.25"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8" s="7" customFormat="1" ht="15" customHeight="1" x14ac:dyDescent="0.25">
      <c r="A4" s="4"/>
      <c r="C4" s="23" t="s">
        <v>324</v>
      </c>
    </row>
    <row r="5" spans="1:18" s="7" customFormat="1" ht="15" customHeight="1" x14ac:dyDescent="0.25">
      <c r="A5" s="4"/>
    </row>
    <row r="6" spans="1:18" s="7" customFormat="1" ht="15" customHeight="1" x14ac:dyDescent="0.25">
      <c r="A6" s="4"/>
    </row>
    <row r="7" spans="1:18" s="7" customFormat="1" ht="15" customHeight="1" x14ac:dyDescent="0.25">
      <c r="A7" s="4"/>
    </row>
    <row r="8" spans="1:18" s="7" customFormat="1" ht="15" customHeight="1" x14ac:dyDescent="0.25">
      <c r="A8" s="4"/>
    </row>
    <row r="9" spans="1:18" s="7" customFormat="1" x14ac:dyDescent="0.25">
      <c r="A9" s="4"/>
    </row>
    <row r="10" spans="1:18" s="7" customFormat="1" x14ac:dyDescent="0.25">
      <c r="A10" s="4"/>
    </row>
    <row r="11" spans="1:18" s="7" customFormat="1" x14ac:dyDescent="0.25">
      <c r="A11" s="4"/>
    </row>
    <row r="12" spans="1:18" s="7" customFormat="1" x14ac:dyDescent="0.25">
      <c r="A12" s="4"/>
    </row>
    <row r="13" spans="1:18" s="7" customFormat="1" x14ac:dyDescent="0.25">
      <c r="A13" s="4"/>
    </row>
    <row r="14" spans="1:18" s="7" customFormat="1" x14ac:dyDescent="0.25">
      <c r="A14" s="4"/>
    </row>
    <row r="15" spans="1:18" s="7" customFormat="1" x14ac:dyDescent="0.25">
      <c r="A15" s="4"/>
    </row>
    <row r="16" spans="1:18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22" t="s">
        <v>323</v>
      </c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Biia Luísa</cp:lastModifiedBy>
  <cp:lastPrinted>2026-10-18T03:33:54Z</cp:lastPrinted>
  <dcterms:created xsi:type="dcterms:W3CDTF">2024-12-19T13:13:10Z</dcterms:created>
  <dcterms:modified xsi:type="dcterms:W3CDTF">2026-10-18T03:33:57Z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